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alambiental-my.sharepoint.com/personal/tulio_silva_vitalambiental_com_br/Documents/01. MATRIZ/LEVANTAMENTO CONTRATOS/CONTRATOS PÚBLICOS VIGENTES/"/>
    </mc:Choice>
  </mc:AlternateContent>
  <xr:revisionPtr revIDLastSave="8" documentId="13_ncr:1_{3D3E0300-5D5D-4662-A86E-8E2232B3A7E2}" xr6:coauthVersionLast="47" xr6:coauthVersionMax="47" xr10:uidLastSave="{9E79A3DC-5F17-AC40-9B92-6A97299A2357}"/>
  <bookViews>
    <workbookView xWindow="-120" yWindow="-120" windowWidth="20730" windowHeight="11040" xr2:uid="{A7659E0E-2264-4719-A5B4-948463B25C0B}"/>
  </bookViews>
  <sheets>
    <sheet name="LEVANTAMENTO" sheetId="9" r:id="rId1"/>
  </sheets>
  <definedNames>
    <definedName name="_xlnm._FilterDatabase" localSheetId="0" hidden="1">LEVANTAMENTO!$B$4:$P$162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9" l="1"/>
  <c r="D13" i="9"/>
  <c r="D121" i="9"/>
  <c r="D122" i="9"/>
  <c r="D7" i="9"/>
  <c r="D117" i="9"/>
  <c r="D63" i="9"/>
  <c r="D124" i="9"/>
  <c r="D50" i="9"/>
  <c r="D76" i="9"/>
  <c r="D118" i="9"/>
  <c r="D51" i="9"/>
  <c r="D77" i="9"/>
  <c r="D9" i="9"/>
  <c r="D125" i="9"/>
  <c r="D64" i="9"/>
  <c r="D65" i="9"/>
  <c r="D78" i="9"/>
  <c r="D126" i="9"/>
  <c r="D134" i="9"/>
  <c r="D79" i="9"/>
  <c r="D80" i="9"/>
  <c r="D66" i="9"/>
  <c r="D81" i="9"/>
  <c r="D52" i="9"/>
  <c r="D129" i="9"/>
  <c r="D82" i="9"/>
  <c r="D53" i="9"/>
  <c r="D54" i="9"/>
  <c r="D84" i="9"/>
  <c r="D67" i="9"/>
  <c r="D68" i="9"/>
  <c r="D85" i="9"/>
  <c r="D130" i="9"/>
  <c r="D86" i="9"/>
  <c r="D87" i="9"/>
  <c r="D88" i="9"/>
  <c r="D131" i="9"/>
  <c r="D89" i="9"/>
  <c r="D69" i="9"/>
  <c r="D90" i="9"/>
  <c r="D91" i="9"/>
  <c r="D132" i="9"/>
  <c r="D133" i="9"/>
  <c r="D70" i="9"/>
  <c r="D92" i="9"/>
  <c r="D71" i="9"/>
  <c r="D93" i="9"/>
  <c r="D72" i="9"/>
  <c r="D94" i="9"/>
  <c r="D73" i="9"/>
  <c r="D95" i="9"/>
  <c r="D97" i="9"/>
  <c r="D98" i="9"/>
  <c r="D74" i="9"/>
  <c r="D99" i="9"/>
  <c r="D100" i="9"/>
  <c r="D101" i="9"/>
  <c r="D102" i="9"/>
  <c r="D103" i="9"/>
  <c r="D104" i="9"/>
  <c r="D105" i="9"/>
  <c r="D107" i="9"/>
  <c r="D108" i="9"/>
  <c r="D96" i="9"/>
  <c r="D5" i="9"/>
  <c r="D123" i="9"/>
  <c r="L197" i="9"/>
  <c r="D112" i="9"/>
  <c r="D137" i="9"/>
  <c r="D113" i="9"/>
  <c r="D83" i="9"/>
  <c r="D128" i="9"/>
  <c r="D127" i="9"/>
  <c r="D110" i="9"/>
  <c r="D136" i="9"/>
  <c r="D106" i="9"/>
  <c r="L14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Tulio Vinicius Rodrigues Silva</author>
  </authors>
  <commentList>
    <comment ref="D17" authorId="0" shapeId="0" xr:uid="{023929F1-5FD4-437C-B4BD-DC2001A1DD40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17" authorId="0" shapeId="0" xr:uid="{8A3B1F43-764C-49D6-AEC5-C3A1234B52A9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K18" authorId="0" shapeId="0" xr:uid="{52676A24-31E6-4584-982E-C9E84D754984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60 meses renovado por mais 12 meses.</t>
        </r>
      </text>
    </comment>
    <comment ref="K20" authorId="0" shapeId="0" xr:uid="{E7E7241D-6E4F-4B76-8ACF-C610CC565D2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60 meses renovado por mais 12 meses.</t>
        </r>
      </text>
    </comment>
    <comment ref="D22" authorId="0" shapeId="0" xr:uid="{498241B5-8734-45B4-B510-ECCDCC8647E0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22" authorId="0" shapeId="0" xr:uid="{4BAB4200-D4B9-4B17-BB3A-43AA33B7392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23" authorId="0" shapeId="0" xr:uid="{C2D7584B-FFFC-4FAB-A4C2-496C9522A289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23" authorId="0" shapeId="0" xr:uid="{38D1514D-25B2-47AE-BBBE-0D0189C930E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24" authorId="0" shapeId="0" xr:uid="{DFC4C356-93E8-4CA6-9308-CF8B011613F7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24" authorId="0" shapeId="0" xr:uid="{19A8EBF1-219F-410C-9D38-927DB89E6F5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2" authorId="0" shapeId="0" xr:uid="{39D319AC-5EC1-42CD-BF26-44C826E656B2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2" authorId="0" shapeId="0" xr:uid="{4062EDDE-F811-431B-8DB6-6D56E398B58B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3" authorId="0" shapeId="0" xr:uid="{35D44C44-5E88-419B-8473-1B60851E9AFA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3" authorId="0" shapeId="0" xr:uid="{F0771F86-7579-4D68-BD61-35D31D84066A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4" authorId="0" shapeId="0" xr:uid="{E13E6594-FE64-4F76-89E0-8552246225A1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4" authorId="0" shapeId="0" xr:uid="{57577EA7-4E9A-49BB-957D-CEA1CD935534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5" authorId="0" shapeId="0" xr:uid="{0268EB40-2AC6-4D24-AA83-9365CBF4F82A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5" authorId="0" shapeId="0" xr:uid="{7F01B403-3039-4E3C-98CB-2792A3E2BC1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6" authorId="0" shapeId="0" xr:uid="{C293621B-3EC3-486A-94CD-39B52080ECE3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6" authorId="0" shapeId="0" xr:uid="{559CC95F-C7AB-404A-AB9A-2F7CD484FF0B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7" authorId="0" shapeId="0" xr:uid="{BD218043-E876-4D64-8E9B-715A2F474EFE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7" authorId="0" shapeId="0" xr:uid="{EC1B91A9-F3A6-41F4-9E54-FA9D5EE2A75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8" authorId="0" shapeId="0" xr:uid="{DF4EDE2F-2934-4574-AF31-9768BF57A5CB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8" authorId="0" shapeId="0" xr:uid="{15B25092-AB14-4A9B-B1FF-7D28108C59B9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D49" authorId="0" shapeId="0" xr:uid="{0620A58E-F25A-4210-A0C4-1401A38BF3F3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N49" authorId="0" shapeId="0" xr:uid="{6668D991-3E2F-45B1-806A-E4DDDD639082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Município vinculado ao contrato da Angência Metropolitana nº 007/2024</t>
        </r>
      </text>
    </comment>
    <comment ref="K55" authorId="0" shapeId="0" xr:uid="{5C9600EC-AA40-4184-B385-229A23503D47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10 anos, prorrogado por mais 10 anos.
19 Termos aditivos</t>
        </r>
      </text>
    </comment>
    <comment ref="K56" authorId="0" shapeId="0" xr:uid="{F1D27545-D3EA-4972-AB0D-6D72D5DCCABE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6 Termos Aditivos </t>
        </r>
      </text>
    </comment>
    <comment ref="K61" authorId="0" shapeId="0" xr:uid="{E6DF1ADD-4DC3-4299-9CA7-CD4408EB9F58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19 Termos aditivos</t>
        </r>
      </text>
    </comment>
    <comment ref="K115" authorId="0" shapeId="0" xr:uid="{9E1022BB-E6D7-4FE2-9610-45EF2FC800DC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19 Termos aditivos</t>
        </r>
      </text>
    </comment>
    <comment ref="K116" authorId="0" shapeId="0" xr:uid="{0A82894A-FC87-4E35-8B93-6D6828B0241D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20 ano, prorrogado por mais 20 anos</t>
        </r>
      </text>
    </comment>
    <comment ref="K120" authorId="0" shapeId="0" xr:uid="{AFF7C6D8-8719-44AE-B480-ACA33AD3979D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16 Termos aditivos</t>
        </r>
      </text>
    </comment>
    <comment ref="K140" authorId="0" shapeId="0" xr:uid="{E67C5775-B2B8-456E-BD5A-C847D671E4F6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12 meses, prorrogado para julho/21
</t>
        </r>
      </text>
    </comment>
    <comment ref="K144" authorId="0" shapeId="0" xr:uid="{1F751717-4EE2-42C4-BFA6-21D6C2E9ECE5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12 meses prorrogado por mais 6 meses
</t>
        </r>
      </text>
    </comment>
    <comment ref="K148" authorId="0" shapeId="0" xr:uid="{C8B20C76-F246-4E8F-AA02-9969B2B35683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90 dias, prorrogado por mais 
90 dias.</t>
        </r>
      </text>
    </comment>
    <comment ref="K153" authorId="0" shapeId="0" xr:uid="{171F5B8A-2A2A-49EC-AB38-202AFA4B6FAC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Conrtato de 24 meses, prorrogado até 31/01/2004</t>
        </r>
      </text>
    </comment>
    <comment ref="L160" authorId="0" shapeId="0" xr:uid="{7EA6C9EE-EAFD-4321-AE50-9BAAF413631B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data de assinatura do contrato</t>
        </r>
      </text>
    </comment>
    <comment ref="F162" authorId="0" shapeId="0" xr:uid="{3475FE83-82E6-402D-9303-C16FD556FF73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Edital de concorrência nº 004/2002</t>
        </r>
      </text>
    </comment>
    <comment ref="K162" authorId="0" shapeId="0" xr:uid="{33B9A8C0-751E-454A-AAEA-0EFDBEA06242}">
      <text>
        <r>
          <rPr>
            <b/>
            <sz val="9"/>
            <color indexed="81"/>
            <rFont val="Segoe UI"/>
            <family val="2"/>
          </rPr>
          <t>Tulio Vinicius Rodrigues Silva:</t>
        </r>
        <r>
          <rPr>
            <sz val="9"/>
            <color indexed="81"/>
            <rFont val="Segoe UI"/>
            <family val="2"/>
          </rPr>
          <t xml:space="preserve">
Contrato de 6 meses, prorrogado para 5 anos.</t>
        </r>
      </text>
    </comment>
  </commentList>
</comments>
</file>

<file path=xl/sharedStrings.xml><?xml version="1.0" encoding="utf-8"?>
<sst xmlns="http://schemas.openxmlformats.org/spreadsheetml/2006/main" count="1536" uniqueCount="386">
  <si>
    <t>Vitória</t>
  </si>
  <si>
    <t>UF</t>
  </si>
  <si>
    <t>ES</t>
  </si>
  <si>
    <t>122/2012</t>
  </si>
  <si>
    <t>Emergencial</t>
  </si>
  <si>
    <t>198/2012</t>
  </si>
  <si>
    <t>071/2013</t>
  </si>
  <si>
    <t>161/2013</t>
  </si>
  <si>
    <t>261/2014</t>
  </si>
  <si>
    <t>487/2014</t>
  </si>
  <si>
    <t>358/2020</t>
  </si>
  <si>
    <t>107/2021</t>
  </si>
  <si>
    <t>265/2021</t>
  </si>
  <si>
    <t>254/2022</t>
  </si>
  <si>
    <t>502/2022</t>
  </si>
  <si>
    <t>274/2023</t>
  </si>
  <si>
    <t>331/2024</t>
  </si>
  <si>
    <t>Recife</t>
  </si>
  <si>
    <t>PE</t>
  </si>
  <si>
    <t>6.008/2009</t>
  </si>
  <si>
    <t>Emergencial
Lei nº 8.666/93</t>
  </si>
  <si>
    <t>Lei nº 8.666/93</t>
  </si>
  <si>
    <t>6.016/2010</t>
  </si>
  <si>
    <t>6.023/2015</t>
  </si>
  <si>
    <t>6.044/2021</t>
  </si>
  <si>
    <t>Encerrado</t>
  </si>
  <si>
    <t>Vigente</t>
  </si>
  <si>
    <t>MUNICÍPIO</t>
  </si>
  <si>
    <t>CONTRATO Nº</t>
  </si>
  <si>
    <t>STATUS</t>
  </si>
  <si>
    <t>INÍCIO</t>
  </si>
  <si>
    <t>MA VITÓRIA</t>
  </si>
  <si>
    <t>MA RECIFE</t>
  </si>
  <si>
    <t>092/1993</t>
  </si>
  <si>
    <t>005/1995</t>
  </si>
  <si>
    <t>029/1999</t>
  </si>
  <si>
    <t>016/2000</t>
  </si>
  <si>
    <t>Angra dos Reis</t>
  </si>
  <si>
    <t>RJ</t>
  </si>
  <si>
    <t>003/2018</t>
  </si>
  <si>
    <t>20 anos</t>
  </si>
  <si>
    <t>MA ANGRA</t>
  </si>
  <si>
    <t>CONSÓRCIO VITÓRIA MAIS LINDA</t>
  </si>
  <si>
    <t>005/2006</t>
  </si>
  <si>
    <t>008/2006</t>
  </si>
  <si>
    <t>Nova Friburgo</t>
  </si>
  <si>
    <t>Assinado</t>
  </si>
  <si>
    <t>Concessão</t>
  </si>
  <si>
    <t>25 anos</t>
  </si>
  <si>
    <t>30 anos</t>
  </si>
  <si>
    <t>MA FRIBURGO</t>
  </si>
  <si>
    <t>120 dias</t>
  </si>
  <si>
    <t>180/2025</t>
  </si>
  <si>
    <t>São Paulo</t>
  </si>
  <si>
    <t>SP</t>
  </si>
  <si>
    <t>180 dias</t>
  </si>
  <si>
    <t>24/LIMPURB/2001</t>
  </si>
  <si>
    <t>36/LIMPURB/2001</t>
  </si>
  <si>
    <t>06/LIMPURB/2002</t>
  </si>
  <si>
    <t>04/SES/2005</t>
  </si>
  <si>
    <t>SAMPALIMP</t>
  </si>
  <si>
    <t>30 dias</t>
  </si>
  <si>
    <t>12 meses +</t>
  </si>
  <si>
    <t>021/SES/2005</t>
  </si>
  <si>
    <t>017/SES/2006</t>
  </si>
  <si>
    <t>90 dias +</t>
  </si>
  <si>
    <t>26/SSO/2004</t>
  </si>
  <si>
    <t>ECOURBIS AMBIENTAL S/A</t>
  </si>
  <si>
    <t>60 meses</t>
  </si>
  <si>
    <t>60 meses +</t>
  </si>
  <si>
    <t>12 meses</t>
  </si>
  <si>
    <t>Niterói</t>
  </si>
  <si>
    <t>016/2011</t>
  </si>
  <si>
    <t>ECONIT ENGENHARIA AMBIENTAL S.A</t>
  </si>
  <si>
    <t>São Luís</t>
  </si>
  <si>
    <t>MA</t>
  </si>
  <si>
    <t>10/10</t>
  </si>
  <si>
    <t>110/11</t>
  </si>
  <si>
    <t>013/11</t>
  </si>
  <si>
    <t>064/12</t>
  </si>
  <si>
    <t>046/2012</t>
  </si>
  <si>
    <t>SLEA - SÃO LUÍS ENGENHARIA AMBIENTAL S/A</t>
  </si>
  <si>
    <t>MA SÃO LUIS</t>
  </si>
  <si>
    <t>Campos dos Goytacazes</t>
  </si>
  <si>
    <t>002/2002</t>
  </si>
  <si>
    <t>MA CAMPOS (CQG)</t>
  </si>
  <si>
    <t>MA SÃO PAULO (CQG)</t>
  </si>
  <si>
    <t>202/7497-8</t>
  </si>
  <si>
    <t>001/2008</t>
  </si>
  <si>
    <t>6 meses +</t>
  </si>
  <si>
    <t>004/2002</t>
  </si>
  <si>
    <t>007/97</t>
  </si>
  <si>
    <t>EBMA - EMPRESA BRASILEIRA DE MEIO AMBIENTE LTDA.</t>
  </si>
  <si>
    <t>026/98</t>
  </si>
  <si>
    <t>017/98</t>
  </si>
  <si>
    <t>019/98</t>
  </si>
  <si>
    <t>05/04</t>
  </si>
  <si>
    <t>CONSTRUTORA QUEIROZ GALVÃO S/A</t>
  </si>
  <si>
    <t>02/08</t>
  </si>
  <si>
    <t>VITAL ENGENHARIA AMBIENTAL</t>
  </si>
  <si>
    <t>30 meses</t>
  </si>
  <si>
    <t>023/98</t>
  </si>
  <si>
    <t>24 meses</t>
  </si>
  <si>
    <t>24 meses +</t>
  </si>
  <si>
    <t>Foz do Iguaçu</t>
  </si>
  <si>
    <t>PR</t>
  </si>
  <si>
    <t>118/2013</t>
  </si>
  <si>
    <t>15 anos</t>
  </si>
  <si>
    <t>Ipatinga</t>
  </si>
  <si>
    <t>MG</t>
  </si>
  <si>
    <t>001/01</t>
  </si>
  <si>
    <t>Juiz de Fora</t>
  </si>
  <si>
    <t>003/2007</t>
  </si>
  <si>
    <t>Belo Horizonte</t>
  </si>
  <si>
    <t>1086/046/07</t>
  </si>
  <si>
    <t>VITAL ENGENHARIA AMBIENTAL S/A</t>
  </si>
  <si>
    <t>266/08</t>
  </si>
  <si>
    <t>MACAÚBAS MEIO AMBIENTTE S/A</t>
  </si>
  <si>
    <t>1136/096/07</t>
  </si>
  <si>
    <t>1185/048/08</t>
  </si>
  <si>
    <t>1191/055/08</t>
  </si>
  <si>
    <t>MODALIDADE DE LICITAÇÃO</t>
  </si>
  <si>
    <t>Concorrência</t>
  </si>
  <si>
    <t>Lei nº 8.666/93
Lei nº 8.987/95</t>
  </si>
  <si>
    <t>Lei nº 14.133/21
Lei nº 8.987/95</t>
  </si>
  <si>
    <t>003/1997</t>
  </si>
  <si>
    <t>Concorrência / Concessão</t>
  </si>
  <si>
    <t>20 anos + 20 anos</t>
  </si>
  <si>
    <t>Concorrência / Concessão PPP</t>
  </si>
  <si>
    <t>Concorrência/ Concessão PPP</t>
  </si>
  <si>
    <t>Serra</t>
  </si>
  <si>
    <t>147/2025</t>
  </si>
  <si>
    <t>CONSÓRCIO SERRA MAIS LINDA</t>
  </si>
  <si>
    <t>Lei nº 14.133/21</t>
  </si>
  <si>
    <t>ENTIDADE CONTRATADA</t>
  </si>
  <si>
    <t>AMA - ANGRA MEIO AMBIENTE S/A</t>
  </si>
  <si>
    <t>ENTIDADE CONTRATANTE</t>
  </si>
  <si>
    <t>Prefeitura Municipal de  Vitória</t>
  </si>
  <si>
    <t>NATUREZA</t>
  </si>
  <si>
    <t>PÚBLICO</t>
  </si>
  <si>
    <t>Prefeitura Municipal de  Recife</t>
  </si>
  <si>
    <t>Prefeitura Municipal de  Angra dos Reis</t>
  </si>
  <si>
    <t>Prefeitura Municipal de  Nova Friburgo</t>
  </si>
  <si>
    <t>Prefeitura Municipal de São Paulo</t>
  </si>
  <si>
    <t>Prefeitura Municipal de Niterói</t>
  </si>
  <si>
    <t>Prefeitura Municipal de São Luís</t>
  </si>
  <si>
    <t>Prefeitura Municipal de Serra</t>
  </si>
  <si>
    <t>Prefeitura Municipal de Ipatinga</t>
  </si>
  <si>
    <t>Prefeitura Municipal de Juiz de Fora</t>
  </si>
  <si>
    <t>Prefeitura Municipal de Belo Horizonte</t>
  </si>
  <si>
    <t>Prefeitura Municipal de Foz do Iguaçu</t>
  </si>
  <si>
    <t>Prefeitura Municipal de Campos dos Goytacazes</t>
  </si>
  <si>
    <t>MAPA DE CONTRATOS DOS EMPREENDIMENTOS</t>
  </si>
  <si>
    <t>Águas Lindas de Goiás</t>
  </si>
  <si>
    <t>Prefeitura Municipal de Águas Lindas de Goiás</t>
  </si>
  <si>
    <t>GO</t>
  </si>
  <si>
    <t>Alto Paraíso de Goiás</t>
  </si>
  <si>
    <t>Prefeitura Municipal de Alto Paraíso de Goiás</t>
  </si>
  <si>
    <t>CGA BARU</t>
  </si>
  <si>
    <t>Cocalzinho de Goiás</t>
  </si>
  <si>
    <t>Novo Gama</t>
  </si>
  <si>
    <t>Vila Propício</t>
  </si>
  <si>
    <t>Prefeitura de Ecoporanga</t>
  </si>
  <si>
    <t>Prefeitura de Montanha</t>
  </si>
  <si>
    <t>Prefeitura de Sooretama</t>
  </si>
  <si>
    <t>Prefeitura Linhares</t>
  </si>
  <si>
    <t>Prefeitura Rio Bananal</t>
  </si>
  <si>
    <t>Ecoporanga</t>
  </si>
  <si>
    <t>Montanha</t>
  </si>
  <si>
    <t>Sooretama</t>
  </si>
  <si>
    <t>Linhares</t>
  </si>
  <si>
    <t>Rio Bananal</t>
  </si>
  <si>
    <t>Barreirinhas</t>
  </si>
  <si>
    <t>Santo Amaro do Maranhão</t>
  </si>
  <si>
    <t>Vitória do Mearim</t>
  </si>
  <si>
    <t>Itapecuru Mirim</t>
  </si>
  <si>
    <t>Viana</t>
  </si>
  <si>
    <t>Inexigibilidade</t>
  </si>
  <si>
    <t>Lei nº 14.133/23</t>
  </si>
  <si>
    <t>Axixá</t>
  </si>
  <si>
    <t>Bacabeira</t>
  </si>
  <si>
    <t>Rosário</t>
  </si>
  <si>
    <t>Cachoeira Grande</t>
  </si>
  <si>
    <t>Cicatu</t>
  </si>
  <si>
    <t>Paço de Lumiar</t>
  </si>
  <si>
    <t>Presidente Jucelino</t>
  </si>
  <si>
    <t>Morros</t>
  </si>
  <si>
    <t>Santa Rita</t>
  </si>
  <si>
    <t>Alcântara</t>
  </si>
  <si>
    <t>São José do Ribamar</t>
  </si>
  <si>
    <t>Raposa</t>
  </si>
  <si>
    <t>Bom Jesus do Itabapoana</t>
  </si>
  <si>
    <t>São Francisco do Itabapoana</t>
  </si>
  <si>
    <t>Antônio Carlos</t>
  </si>
  <si>
    <t>Belmiro Braga</t>
  </si>
  <si>
    <t>Bias Fortes</t>
  </si>
  <si>
    <t>Cigedas</t>
  </si>
  <si>
    <t>Desterro do Melo</t>
  </si>
  <si>
    <t>Ewbank da Câmara</t>
  </si>
  <si>
    <t>Liberdade</t>
  </si>
  <si>
    <t>Matias Barbosa</t>
  </si>
  <si>
    <t>Mercês</t>
  </si>
  <si>
    <t>Pedro Teixeira</t>
  </si>
  <si>
    <t>Santos Dumont</t>
  </si>
  <si>
    <t>Ubá</t>
  </si>
  <si>
    <t>CIGEDAS - Consórcio Intermunicipal de Gestão e Desenvolvimento Ambiental Sustentável das Vertentes</t>
  </si>
  <si>
    <t>Bom Jesus do Amparo</t>
  </si>
  <si>
    <t>Caeté</t>
  </si>
  <si>
    <t>Conceicao do Mato Dentro</t>
  </si>
  <si>
    <t>Confins</t>
  </si>
  <si>
    <t>Cordisburgo</t>
  </si>
  <si>
    <t>Jaboticatubas</t>
  </si>
  <si>
    <t>Jequitibá</t>
  </si>
  <si>
    <t>Matozinhos</t>
  </si>
  <si>
    <t>Moeda</t>
  </si>
  <si>
    <t>Nova Lima</t>
  </si>
  <si>
    <t>Ribeirão das Neves</t>
  </si>
  <si>
    <t>Santana do Riacho</t>
  </si>
  <si>
    <t>Vespasiano</t>
  </si>
  <si>
    <t>Lei nº 8.666/101</t>
  </si>
  <si>
    <t>CLIN - Compania de Limpeza Urbana de Niterói</t>
  </si>
  <si>
    <t>Belo Oriente</t>
  </si>
  <si>
    <t>Alvarenga</t>
  </si>
  <si>
    <t>Antonio Dias</t>
  </si>
  <si>
    <t>Capitão Andrade</t>
  </si>
  <si>
    <t>Coronel Fabriciano</t>
  </si>
  <si>
    <t>Corrego Novo</t>
  </si>
  <si>
    <t>Divino Das Laranjeiras</t>
  </si>
  <si>
    <t>Fernandes Tourinho</t>
  </si>
  <si>
    <t>Gonzaga</t>
  </si>
  <si>
    <t>Governador Valadares</t>
  </si>
  <si>
    <t>Ipaba</t>
  </si>
  <si>
    <t>Itabirinha</t>
  </si>
  <si>
    <t>Jaguaracu</t>
  </si>
  <si>
    <t>Joanesia</t>
  </si>
  <si>
    <t>Marilac</t>
  </si>
  <si>
    <t>Mathias Lobato</t>
  </si>
  <si>
    <t>Mendes Pimentel</t>
  </si>
  <si>
    <t>Naque</t>
  </si>
  <si>
    <t>Santana Do Paraíso</t>
  </si>
  <si>
    <t>São João Do Manteninha</t>
  </si>
  <si>
    <t>São João Do Oriente</t>
  </si>
  <si>
    <t>São Geraldo Da Piedade</t>
  </si>
  <si>
    <t>São José Do Jacuri</t>
  </si>
  <si>
    <t>São Sebastião Do Anta</t>
  </si>
  <si>
    <t>Sobralia</t>
  </si>
  <si>
    <t>Virginopolis</t>
  </si>
  <si>
    <t>Piedade De Caratinga</t>
  </si>
  <si>
    <t>Açucena</t>
  </si>
  <si>
    <t>Dionisio</t>
  </si>
  <si>
    <t>Inhapim</t>
  </si>
  <si>
    <t>Itanhomi</t>
  </si>
  <si>
    <t>São Felix De Minas</t>
  </si>
  <si>
    <t>Timóteo</t>
  </si>
  <si>
    <t>Bugre</t>
  </si>
  <si>
    <t>CTR Santana do Paraíso</t>
  </si>
  <si>
    <t>98/2022</t>
  </si>
  <si>
    <t>19/2021</t>
  </si>
  <si>
    <t>08/2021</t>
  </si>
  <si>
    <t>93/2022</t>
  </si>
  <si>
    <t>057/2024</t>
  </si>
  <si>
    <t>01/2023</t>
  </si>
  <si>
    <t>068/2023</t>
  </si>
  <si>
    <t>99/2022</t>
  </si>
  <si>
    <t>053/2024</t>
  </si>
  <si>
    <t>1/2021</t>
  </si>
  <si>
    <t>53/2022</t>
  </si>
  <si>
    <t>49/2023</t>
  </si>
  <si>
    <t>0287/2024</t>
  </si>
  <si>
    <t>083/2021</t>
  </si>
  <si>
    <t>Bocâina de Minas</t>
  </si>
  <si>
    <t>0187/2023</t>
  </si>
  <si>
    <t>015/2022</t>
  </si>
  <si>
    <t>002/001/2022</t>
  </si>
  <si>
    <t>097/2022</t>
  </si>
  <si>
    <t>081/2022</t>
  </si>
  <si>
    <t>044/2021</t>
  </si>
  <si>
    <t>094/2020</t>
  </si>
  <si>
    <t>021/2024</t>
  </si>
  <si>
    <t>038/2022</t>
  </si>
  <si>
    <t>051/2021</t>
  </si>
  <si>
    <t>004/2024</t>
  </si>
  <si>
    <t>255/2024</t>
  </si>
  <si>
    <t>088/2021</t>
  </si>
  <si>
    <t>050/2022</t>
  </si>
  <si>
    <t>041/2022</t>
  </si>
  <si>
    <t>093/2024</t>
  </si>
  <si>
    <t>148/2024</t>
  </si>
  <si>
    <t>07/2025</t>
  </si>
  <si>
    <t>435/2023</t>
  </si>
  <si>
    <t>033/2025</t>
  </si>
  <si>
    <t>074/2025</t>
  </si>
  <si>
    <t>186/2020</t>
  </si>
  <si>
    <t>046/2021</t>
  </si>
  <si>
    <t>36 meses</t>
  </si>
  <si>
    <t xml:space="preserve">Marliéria </t>
  </si>
  <si>
    <t>Braúnas</t>
  </si>
  <si>
    <t xml:space="preserve">Pingo D´Água </t>
  </si>
  <si>
    <t xml:space="preserve">Periquito </t>
  </si>
  <si>
    <t xml:space="preserve">Mesquita </t>
  </si>
  <si>
    <t>Iapú</t>
  </si>
  <si>
    <t>203/2020</t>
  </si>
  <si>
    <t>99/2019</t>
  </si>
  <si>
    <t>112/2023</t>
  </si>
  <si>
    <t>206/2023</t>
  </si>
  <si>
    <t>3/2021</t>
  </si>
  <si>
    <t>33/2021</t>
  </si>
  <si>
    <t>065/2022</t>
  </si>
  <si>
    <t>46/2019</t>
  </si>
  <si>
    <t>076/2022</t>
  </si>
  <si>
    <t>023/2023</t>
  </si>
  <si>
    <t>006/2021</t>
  </si>
  <si>
    <t>001/2022</t>
  </si>
  <si>
    <t>081/2023</t>
  </si>
  <si>
    <t>094/2022</t>
  </si>
  <si>
    <t>101/2023</t>
  </si>
  <si>
    <t>088/2022</t>
  </si>
  <si>
    <t>033/2023</t>
  </si>
  <si>
    <t>045/2019</t>
  </si>
  <si>
    <t>Inexibilidade</t>
  </si>
  <si>
    <t>31/12/2025</t>
  </si>
  <si>
    <t>018/2024</t>
  </si>
  <si>
    <t>066/2023</t>
  </si>
  <si>
    <t>031/2022</t>
  </si>
  <si>
    <t>Agência Metropolitana</t>
  </si>
  <si>
    <t>090/2025</t>
  </si>
  <si>
    <t>097/2025</t>
  </si>
  <si>
    <t>Em processo</t>
  </si>
  <si>
    <t>007/2024</t>
  </si>
  <si>
    <t>Licitação ganha - Aguardando assinatura</t>
  </si>
  <si>
    <t>PRAZO</t>
  </si>
  <si>
    <t>383/2025</t>
  </si>
  <si>
    <t>1 ano</t>
  </si>
  <si>
    <t>01.2028.003/2021</t>
  </si>
  <si>
    <t>5 anos</t>
  </si>
  <si>
    <t>03/2025</t>
  </si>
  <si>
    <t>209/2025</t>
  </si>
  <si>
    <t>309/2025</t>
  </si>
  <si>
    <t>5 meses</t>
  </si>
  <si>
    <t>055/2025</t>
  </si>
  <si>
    <t>TÉRMINO</t>
  </si>
  <si>
    <t>VALOR DO CONTRATO (Pn)</t>
  </si>
  <si>
    <t>VALOR DO CONTRATO (Po)</t>
  </si>
  <si>
    <t>053/2023</t>
  </si>
  <si>
    <t>72/2025</t>
  </si>
  <si>
    <t>025/2021</t>
  </si>
  <si>
    <t>056/2025</t>
  </si>
  <si>
    <t>072/2025</t>
  </si>
  <si>
    <t>MACAÚBAS MEIO AMBIENTE S/A</t>
  </si>
  <si>
    <t>046/2024</t>
  </si>
  <si>
    <t>N/A</t>
  </si>
  <si>
    <t>011/2025</t>
  </si>
  <si>
    <t>061/2025</t>
  </si>
  <si>
    <t>16/04/2025</t>
  </si>
  <si>
    <t>CIMVALP - Consorcio Intermunicipal Multissetorial Do Vale Do Piranga</t>
  </si>
  <si>
    <t>São Mateus</t>
  </si>
  <si>
    <t>561/2025</t>
  </si>
  <si>
    <t>ORBIS AMBIENTAL S/A</t>
  </si>
  <si>
    <t>CONSÓRCIO RECIFE AMBIENTAL (LOTE I)</t>
  </si>
  <si>
    <t>CONSÓRCIO RECIFE AMBIENTAL (LOTE II)</t>
  </si>
  <si>
    <t>EBMA - EMPRESA BRASILEIRA DE MEIO AMBIENTE S/A</t>
  </si>
  <si>
    <t>EBMA GESTÃO DE RESÍDUOS S/A</t>
  </si>
  <si>
    <t>CENTRAL DE GERENCIAMENTO AMBIENTAL BARU S/A</t>
  </si>
  <si>
    <t>CENTRAL DE GERENCIAMENTO AMBIENTAL JUPARANÃ S/A</t>
  </si>
  <si>
    <t>CENTRAL DE GERENCIAMENTO AMBIENTAL TITARA S/A</t>
  </si>
  <si>
    <t>028/2024</t>
  </si>
  <si>
    <t>131/2025</t>
  </si>
  <si>
    <t>081/2025</t>
  </si>
  <si>
    <t xml:space="preserve">12 meses  + 1 renovação de 12 meses </t>
  </si>
  <si>
    <t xml:space="preserve">12 meses  + 2 renovações de 12 meses </t>
  </si>
  <si>
    <t xml:space="preserve">12 meses  + 4 renovações de 12 meses </t>
  </si>
  <si>
    <t xml:space="preserve">12 meses  + 3 renovações de 12 meses </t>
  </si>
  <si>
    <t>15/04/2026</t>
  </si>
  <si>
    <t xml:space="preserve">12 meses  + 5 renovações de 12 meses </t>
  </si>
  <si>
    <t xml:space="preserve">6 meses  + 1 renovação de 6 meses </t>
  </si>
  <si>
    <t>030/2021</t>
  </si>
  <si>
    <t>15 Meses + 9 aditivos</t>
  </si>
  <si>
    <t>12 meses + 1 aditivo</t>
  </si>
  <si>
    <t>640/2025</t>
  </si>
  <si>
    <t>12 meses + 12 meses</t>
  </si>
  <si>
    <t>12 meses + 5 aditivos</t>
  </si>
  <si>
    <t>PRIVADO</t>
  </si>
  <si>
    <t>10 anos + 5 anos + 5 anos</t>
  </si>
  <si>
    <t>6.016/2022
6.017/2022</t>
  </si>
  <si>
    <t>6.014/2022
6.015/2022</t>
  </si>
  <si>
    <t>CONTROLE DAS EVIDÊNCIAS (LINHA)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</si>
</sst>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$&quot;\ #,##0.00;[Red]\-&quot;R$&quot;\ #,##0.00"/>
    <numFmt numFmtId="165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20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4BD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86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7" fillId="0" borderId="0" xfId="0" applyFont="1"/>
    <xf numFmtId="17" fontId="4" fillId="3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43" fontId="3" fillId="2" borderId="0" xfId="1" applyFont="1" applyFill="1" applyAlignment="1">
      <alignment vertical="center" wrapText="1"/>
    </xf>
    <xf numFmtId="43" fontId="2" fillId="2" borderId="0" xfId="2" applyFont="1" applyFill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4" fontId="2" fillId="2" borderId="0" xfId="1" applyNumberFormat="1" applyFont="1" applyFill="1" applyAlignment="1">
      <alignment horizontal="center" vertical="center"/>
    </xf>
    <xf numFmtId="43" fontId="2" fillId="2" borderId="0" xfId="3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Continuous" vertical="center"/>
    </xf>
    <xf numFmtId="17" fontId="4" fillId="3" borderId="4" xfId="0" applyNumberFormat="1" applyFont="1" applyFill="1" applyBorder="1" applyAlignment="1">
      <alignment horizontal="centerContinuous" vertical="center" wrapText="1"/>
    </xf>
    <xf numFmtId="165" fontId="0" fillId="0" borderId="1" xfId="4" quotePrefix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5" fontId="4" fillId="3" borderId="2" xfId="4" applyFont="1" applyFill="1" applyBorder="1" applyAlignment="1">
      <alignment horizontal="center" vertical="center" wrapText="1"/>
    </xf>
    <xf numFmtId="165" fontId="0" fillId="0" borderId="1" xfId="4" applyFont="1" applyBorder="1" applyAlignment="1">
      <alignment horizontal="center" vertical="center"/>
    </xf>
    <xf numFmtId="165" fontId="0" fillId="0" borderId="0" xfId="4" applyFont="1"/>
    <xf numFmtId="165" fontId="0" fillId="4" borderId="1" xfId="4" quotePrefix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65" fontId="0" fillId="0" borderId="1" xfId="4" applyFont="1" applyFill="1" applyBorder="1" applyAlignment="1">
      <alignment horizontal="center" vertical="center"/>
    </xf>
    <xf numFmtId="165" fontId="0" fillId="0" borderId="1" xfId="4" quotePrefix="1" applyFont="1" applyFill="1" applyBorder="1" applyAlignment="1">
      <alignment horizontal="center" vertical="center"/>
    </xf>
    <xf numFmtId="165" fontId="10" fillId="0" borderId="1" xfId="4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5" fontId="0" fillId="0" borderId="6" xfId="4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65" fontId="0" fillId="0" borderId="5" xfId="4" applyFont="1" applyFill="1" applyBorder="1" applyAlignment="1">
      <alignment vertical="center"/>
    </xf>
    <xf numFmtId="165" fontId="0" fillId="0" borderId="1" xfId="4" applyFont="1" applyFill="1" applyBorder="1" applyAlignment="1">
      <alignment vertical="center"/>
    </xf>
    <xf numFmtId="0" fontId="0" fillId="0" borderId="1" xfId="0" quotePrefix="1" applyBorder="1" applyAlignment="1">
      <alignment horizontal="center" vertical="center" wrapText="1"/>
    </xf>
    <xf numFmtId="0" fontId="11" fillId="0" borderId="0" xfId="0" applyFont="1"/>
    <xf numFmtId="0" fontId="0" fillId="5" borderId="1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49" fontId="0" fillId="5" borderId="1" xfId="0" quotePrefix="1" applyNumberFormat="1" applyFill="1" applyBorder="1" applyAlignment="1">
      <alignment horizontal="center" vertical="center"/>
    </xf>
    <xf numFmtId="165" fontId="0" fillId="5" borderId="5" xfId="4" applyFont="1" applyFill="1" applyBorder="1" applyAlignment="1">
      <alignment horizontal="center" vertical="center"/>
    </xf>
    <xf numFmtId="165" fontId="0" fillId="5" borderId="1" xfId="4" applyFont="1" applyFill="1" applyBorder="1" applyAlignment="1">
      <alignment horizontal="center" vertical="center"/>
    </xf>
    <xf numFmtId="0" fontId="4" fillId="3" borderId="2" xfId="4" applyNumberFormat="1" applyFont="1" applyFill="1" applyBorder="1" applyAlignment="1">
      <alignment horizontal="center" vertical="center" wrapText="1"/>
    </xf>
    <xf numFmtId="0" fontId="0" fillId="0" borderId="1" xfId="4" quotePrefix="1" applyNumberFormat="1" applyFont="1" applyBorder="1" applyAlignment="1">
      <alignment horizontal="center" vertical="center"/>
    </xf>
    <xf numFmtId="0" fontId="0" fillId="0" borderId="1" xfId="4" applyNumberFormat="1" applyFont="1" applyBorder="1" applyAlignment="1">
      <alignment horizontal="center" vertical="center"/>
    </xf>
    <xf numFmtId="0" fontId="0" fillId="0" borderId="1" xfId="4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4" applyNumberFormat="1" applyFont="1" applyBorder="1" applyAlignment="1">
      <alignment horizontal="center" vertical="center"/>
    </xf>
    <xf numFmtId="0" fontId="0" fillId="5" borderId="5" xfId="4" applyNumberFormat="1" applyFont="1" applyFill="1" applyBorder="1" applyAlignment="1">
      <alignment horizontal="center" vertical="center"/>
    </xf>
    <xf numFmtId="0" fontId="0" fillId="5" borderId="1" xfId="4" applyNumberFormat="1" applyFont="1" applyFill="1" applyBorder="1" applyAlignment="1">
      <alignment horizontal="center" vertical="center"/>
    </xf>
    <xf numFmtId="0" fontId="0" fillId="0" borderId="1" xfId="4" applyNumberFormat="1" applyFont="1" applyFill="1" applyBorder="1" applyAlignment="1">
      <alignment horizontal="center" vertical="center"/>
    </xf>
    <xf numFmtId="0" fontId="0" fillId="4" borderId="1" xfId="4" quotePrefix="1" applyNumberFormat="1" applyFont="1" applyFill="1" applyBorder="1" applyAlignment="1">
      <alignment horizontal="center" vertical="center"/>
    </xf>
    <xf numFmtId="0" fontId="10" fillId="0" borderId="1" xfId="4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5" xfId="4" applyNumberFormat="1" applyFont="1" applyFill="1" applyBorder="1" applyAlignment="1">
      <alignment horizontal="center" vertical="center"/>
    </xf>
    <xf numFmtId="0" fontId="0" fillId="0" borderId="0" xfId="4" applyNumberFormat="1" applyFont="1" applyAlignment="1">
      <alignment horizontal="center"/>
    </xf>
    <xf numFmtId="0" fontId="12" fillId="0" borderId="0" xfId="0" applyFont="1"/>
    <xf numFmtId="0" fontId="13" fillId="0" borderId="0" xfId="0" applyFont="1"/>
    <xf numFmtId="14" fontId="2" fillId="2" borderId="0" xfId="1" applyNumberFormat="1" applyFont="1" applyFill="1" applyBorder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43" fontId="2" fillId="2" borderId="0" xfId="3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vertical="center"/>
    </xf>
    <xf numFmtId="0" fontId="12" fillId="2" borderId="0" xfId="0" applyFont="1" applyFill="1"/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quotePrefix="1" applyNumberForma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165" fontId="0" fillId="2" borderId="1" xfId="4" quotePrefix="1" applyFont="1" applyFill="1" applyBorder="1" applyAlignment="1">
      <alignment horizontal="center" vertical="center"/>
    </xf>
    <xf numFmtId="0" fontId="0" fillId="2" borderId="1" xfId="4" quotePrefix="1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165" fontId="1" fillId="0" borderId="0" xfId="4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0" borderId="3" xfId="4" applyFont="1" applyBorder="1" applyAlignment="1">
      <alignment horizontal="center" vertical="center"/>
    </xf>
    <xf numFmtId="17" fontId="6" fillId="3" borderId="0" xfId="0" applyNumberFormat="1" applyFont="1" applyFill="1" applyAlignment="1">
      <alignment horizontal="center" vertical="center" wrapText="1"/>
    </xf>
  </cellXfs>
  <cellStyles count="9">
    <cellStyle name="Moeda" xfId="4" builtinId="4"/>
    <cellStyle name="Moeda 2" xfId="8" xr:uid="{C3F826D8-1937-4F05-A9EA-3CAEBEF3BCCB}"/>
    <cellStyle name="Normal" xfId="0" builtinId="0"/>
    <cellStyle name="Vírgula" xfId="1" builtinId="3"/>
    <cellStyle name="Vírgula 2" xfId="2" xr:uid="{3271D129-F8C6-41D0-8F76-505D0E5C4083}"/>
    <cellStyle name="Vírgula 2 2" xfId="6" xr:uid="{06CA0893-1BFE-4AF2-9263-DB2D8B404DCC}"/>
    <cellStyle name="Vírgula 3" xfId="3" xr:uid="{9F3647E2-3231-4BDE-BFB3-7D0FC9682352}"/>
    <cellStyle name="Vírgula 3 2" xfId="7" xr:uid="{86952687-149F-4732-985A-0949B57BFA37}"/>
    <cellStyle name="Vírgula 4" xfId="5" xr:uid="{FC1AD522-2595-45A5-B1C5-6B14D58A9628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77208</xdr:colOff>
      <xdr:row>1</xdr:row>
      <xdr:rowOff>31874</xdr:rowOff>
    </xdr:from>
    <xdr:to>
      <xdr:col>1</xdr:col>
      <xdr:colOff>1010860</xdr:colOff>
      <xdr:row>1</xdr:row>
      <xdr:rowOff>509795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B6CA40-B33E-41BB-BA37-3CF080CC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258" y="85849"/>
          <a:ext cx="933652" cy="474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29D-AF69-4798-B8E6-525F7FFB8EA7}">
  <sheetPr filterMode="1">
    <pageSetUpPr fitToPage="1"/>
  </sheetPr>
  <dimension ref="A1:AB402"/>
  <sheetViews>
    <sheetView showGridLines="0" tabSelected="1" zoomScale="70" zoomScaleNormal="70" workbookViewId="0">
      <pane xSplit="3" ySplit="4" topLeftCell="H17" activePane="bottomRight" state="frozen"/>
      <selection pane="bottomLeft" activeCell="A4" sqref="A4"/>
      <selection pane="topRight" activeCell="C1" sqref="C1"/>
      <selection pane="bottomRight" activeCell="D124" sqref="D124"/>
    </sheetView>
  </sheetViews>
  <sheetFormatPr defaultRowHeight="15" x14ac:dyDescent="0.2"/>
  <cols>
    <col min="1" max="1" width="2.15234375" style="64" customWidth="1"/>
    <col min="2" max="2" width="24.078125" customWidth="1"/>
    <col min="3" max="3" width="11.56640625" bestFit="1" customWidth="1"/>
    <col min="4" max="4" width="44.79296875" customWidth="1"/>
    <col min="5" max="5" width="33.08984375" customWidth="1"/>
    <col min="6" max="6" width="24.48046875" customWidth="1"/>
    <col min="7" max="7" width="19.1015625" bestFit="1" customWidth="1"/>
    <col min="8" max="8" width="17.08203125" customWidth="1"/>
    <col min="9" max="9" width="20.3125" bestFit="1" customWidth="1"/>
    <col min="10" max="10" width="17.890625" customWidth="1"/>
    <col min="11" max="11" width="24.75" customWidth="1"/>
    <col min="12" max="13" width="12.9140625" customWidth="1"/>
    <col min="14" max="14" width="27.44140625" style="28" customWidth="1"/>
    <col min="15" max="15" width="20.4453125" style="28" hidden="1" customWidth="1"/>
    <col min="16" max="16" width="28.3828125" style="63" customWidth="1"/>
    <col min="17" max="17" width="13.85546875" bestFit="1" customWidth="1"/>
    <col min="18" max="18" width="18.29296875" customWidth="1"/>
    <col min="22" max="22" width="11.1640625" customWidth="1"/>
  </cols>
  <sheetData>
    <row r="1" spans="1:28" ht="3.75" customHeight="1" x14ac:dyDescent="0.2"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2"/>
      <c r="P1" s="61"/>
    </row>
    <row r="2" spans="1:28" s="5" customFormat="1" ht="42" customHeight="1" x14ac:dyDescent="0.2">
      <c r="A2" s="65"/>
      <c r="B2" s="85" t="s">
        <v>152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/>
      <c r="R2"/>
      <c r="S2"/>
      <c r="T2"/>
      <c r="U2"/>
      <c r="V2"/>
      <c r="W2"/>
      <c r="X2"/>
      <c r="Y2"/>
      <c r="Z2"/>
      <c r="AA2"/>
      <c r="AB2"/>
    </row>
    <row r="3" spans="1:28" ht="3.75" customHeight="1" thickBot="1" x14ac:dyDescent="0.25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4"/>
      <c r="P3" s="61"/>
    </row>
    <row r="4" spans="1:28" s="6" customFormat="1" ht="30" customHeight="1" x14ac:dyDescent="0.2">
      <c r="A4" s="64"/>
      <c r="B4" s="7" t="s">
        <v>27</v>
      </c>
      <c r="C4" s="7" t="s">
        <v>1</v>
      </c>
      <c r="D4" s="7" t="s">
        <v>136</v>
      </c>
      <c r="E4" s="7" t="s">
        <v>134</v>
      </c>
      <c r="F4" s="7" t="s">
        <v>28</v>
      </c>
      <c r="G4" s="7" t="s">
        <v>138</v>
      </c>
      <c r="H4" s="7" t="s">
        <v>29</v>
      </c>
      <c r="I4" s="22" t="s">
        <v>121</v>
      </c>
      <c r="J4" s="23"/>
      <c r="K4" s="25" t="s">
        <v>330</v>
      </c>
      <c r="L4" s="7" t="s">
        <v>30</v>
      </c>
      <c r="M4" s="7" t="s">
        <v>340</v>
      </c>
      <c r="N4" s="26" t="s">
        <v>342</v>
      </c>
      <c r="O4" s="26" t="s">
        <v>341</v>
      </c>
      <c r="P4" s="50" t="s">
        <v>385</v>
      </c>
      <c r="Q4"/>
      <c r="R4"/>
      <c r="S4"/>
      <c r="T4"/>
      <c r="U4"/>
      <c r="V4"/>
      <c r="W4"/>
      <c r="X4"/>
      <c r="Y4"/>
      <c r="Z4"/>
      <c r="AA4"/>
      <c r="AB4"/>
    </row>
    <row r="5" spans="1:28" ht="35.1" customHeight="1" x14ac:dyDescent="0.2">
      <c r="A5"/>
      <c r="B5" s="8" t="s">
        <v>214</v>
      </c>
      <c r="C5" s="11" t="s">
        <v>109</v>
      </c>
      <c r="D5" s="8" t="str">
        <f>_xlfn.CONCAT("Prefeitura Municipal de ",B5)</f>
        <v>Prefeitura Municipal de Moeda</v>
      </c>
      <c r="E5" s="9" t="s">
        <v>117</v>
      </c>
      <c r="F5" s="16" t="e">
        <v>#N/A</v>
      </c>
      <c r="G5" s="8" t="s">
        <v>139</v>
      </c>
      <c r="H5" s="11" t="s">
        <v>25</v>
      </c>
      <c r="I5" s="11" t="s">
        <v>122</v>
      </c>
      <c r="J5" s="8" t="s">
        <v>219</v>
      </c>
      <c r="K5" s="15" t="e">
        <v>#N/A</v>
      </c>
      <c r="L5" s="16" t="e">
        <v>#N/A</v>
      </c>
      <c r="M5" s="16" t="e">
        <v>#N/A</v>
      </c>
      <c r="N5" s="24" t="e">
        <v>#N/A</v>
      </c>
      <c r="O5" s="12"/>
      <c r="P5" s="51"/>
      <c r="Q5" s="1"/>
      <c r="R5" s="2"/>
    </row>
    <row r="6" spans="1:28" ht="35.1" customHeight="1" x14ac:dyDescent="0.2">
      <c r="A6" s="64">
        <v>6</v>
      </c>
      <c r="B6" s="8" t="s">
        <v>37</v>
      </c>
      <c r="C6" s="11" t="s">
        <v>38</v>
      </c>
      <c r="D6" s="8" t="s">
        <v>141</v>
      </c>
      <c r="E6" s="9" t="s">
        <v>135</v>
      </c>
      <c r="F6" s="11" t="s">
        <v>375</v>
      </c>
      <c r="G6" s="8" t="s">
        <v>139</v>
      </c>
      <c r="H6" s="11" t="s">
        <v>26</v>
      </c>
      <c r="I6" s="9" t="s">
        <v>129</v>
      </c>
      <c r="J6" s="8" t="s">
        <v>123</v>
      </c>
      <c r="K6" s="8" t="s">
        <v>40</v>
      </c>
      <c r="L6" s="9">
        <v>44377</v>
      </c>
      <c r="M6" s="9">
        <v>51677</v>
      </c>
      <c r="N6" s="27">
        <v>1111264828</v>
      </c>
      <c r="O6" s="12"/>
      <c r="P6" s="52">
        <v>6</v>
      </c>
      <c r="Q6" s="1"/>
      <c r="R6" s="2"/>
    </row>
    <row r="7" spans="1:28" ht="35.1" customHeight="1" x14ac:dyDescent="0.2">
      <c r="A7" s="64">
        <v>7</v>
      </c>
      <c r="B7" s="8" t="s">
        <v>160</v>
      </c>
      <c r="C7" s="11" t="s">
        <v>155</v>
      </c>
      <c r="D7" s="8" t="str">
        <f>_xlfn.CONCAT("Prefeitura Municipal de ",B7)</f>
        <v>Prefeitura Municipal de Novo Gama</v>
      </c>
      <c r="E7" s="9" t="s">
        <v>362</v>
      </c>
      <c r="F7" s="16" t="s">
        <v>288</v>
      </c>
      <c r="G7" s="8" t="s">
        <v>139</v>
      </c>
      <c r="H7" s="11" t="s">
        <v>26</v>
      </c>
      <c r="I7" s="11" t="s">
        <v>122</v>
      </c>
      <c r="J7" s="8" t="s">
        <v>21</v>
      </c>
      <c r="K7" s="15" t="s">
        <v>70</v>
      </c>
      <c r="L7" s="16">
        <v>45748</v>
      </c>
      <c r="M7" s="16">
        <v>46113</v>
      </c>
      <c r="N7" s="24">
        <v>4320000</v>
      </c>
      <c r="O7" s="12"/>
      <c r="P7" s="51">
        <v>7</v>
      </c>
      <c r="Q7" s="1"/>
      <c r="R7" s="2"/>
    </row>
    <row r="8" spans="1:28" ht="35.1" customHeight="1" x14ac:dyDescent="0.2">
      <c r="A8" s="64">
        <v>8</v>
      </c>
      <c r="B8" s="8" t="s">
        <v>153</v>
      </c>
      <c r="C8" s="11" t="s">
        <v>155</v>
      </c>
      <c r="D8" s="8" t="s">
        <v>154</v>
      </c>
      <c r="E8" s="9" t="s">
        <v>362</v>
      </c>
      <c r="F8" s="16" t="s">
        <v>378</v>
      </c>
      <c r="G8" s="8" t="s">
        <v>139</v>
      </c>
      <c r="H8" s="11" t="s">
        <v>26</v>
      </c>
      <c r="I8" s="11" t="s">
        <v>177</v>
      </c>
      <c r="J8" s="8" t="s">
        <v>133</v>
      </c>
      <c r="K8" s="15" t="s">
        <v>70</v>
      </c>
      <c r="L8" s="16">
        <v>45860</v>
      </c>
      <c r="M8" s="16">
        <v>46225</v>
      </c>
      <c r="N8" s="24">
        <v>8869500</v>
      </c>
      <c r="O8" s="67"/>
      <c r="P8" s="51">
        <v>8</v>
      </c>
      <c r="Q8" s="1"/>
      <c r="R8" s="2"/>
    </row>
    <row r="9" spans="1:28" ht="35.1" customHeight="1" x14ac:dyDescent="0.2">
      <c r="A9" s="64">
        <v>9</v>
      </c>
      <c r="B9" s="8" t="s">
        <v>159</v>
      </c>
      <c r="C9" s="11" t="s">
        <v>155</v>
      </c>
      <c r="D9" s="8" t="str">
        <f>_xlfn.CONCAT("Prefeitura Municipal de ",B9)</f>
        <v>Prefeitura Municipal de Cocalzinho de Goiás</v>
      </c>
      <c r="E9" s="9" t="s">
        <v>362</v>
      </c>
      <c r="F9" s="16" t="s">
        <v>287</v>
      </c>
      <c r="G9" s="8" t="s">
        <v>139</v>
      </c>
      <c r="H9" s="11" t="s">
        <v>26</v>
      </c>
      <c r="I9" s="11" t="s">
        <v>122</v>
      </c>
      <c r="J9" s="8" t="s">
        <v>133</v>
      </c>
      <c r="K9" s="15" t="s">
        <v>379</v>
      </c>
      <c r="L9" s="16">
        <v>45397</v>
      </c>
      <c r="M9" s="16">
        <v>46140</v>
      </c>
      <c r="N9" s="24">
        <v>1056000</v>
      </c>
      <c r="O9" s="12"/>
      <c r="P9" s="51">
        <v>9</v>
      </c>
      <c r="Q9" s="1"/>
      <c r="R9" s="2"/>
    </row>
    <row r="10" spans="1:28" ht="35.1" customHeight="1" x14ac:dyDescent="0.2">
      <c r="A10" s="64">
        <v>10</v>
      </c>
      <c r="B10" s="8" t="s">
        <v>156</v>
      </c>
      <c r="C10" s="11" t="s">
        <v>155</v>
      </c>
      <c r="D10" s="8" t="s">
        <v>157</v>
      </c>
      <c r="E10" s="9" t="s">
        <v>362</v>
      </c>
      <c r="F10" s="16" t="s">
        <v>365</v>
      </c>
      <c r="G10" s="8" t="s">
        <v>139</v>
      </c>
      <c r="H10" s="11" t="s">
        <v>26</v>
      </c>
      <c r="I10" s="11" t="s">
        <v>122</v>
      </c>
      <c r="J10" s="8" t="s">
        <v>21</v>
      </c>
      <c r="K10" s="15" t="s">
        <v>294</v>
      </c>
      <c r="L10" s="16">
        <v>45553</v>
      </c>
      <c r="M10" s="16">
        <v>46648</v>
      </c>
      <c r="N10" s="24">
        <v>972000</v>
      </c>
      <c r="O10" s="12"/>
      <c r="P10" s="51">
        <v>10</v>
      </c>
      <c r="Q10" s="1"/>
      <c r="R10" s="2"/>
    </row>
    <row r="11" spans="1:28" ht="35.1" customHeight="1" x14ac:dyDescent="0.2">
      <c r="A11" s="64">
        <v>11</v>
      </c>
      <c r="B11" s="8" t="s">
        <v>167</v>
      </c>
      <c r="C11" s="11" t="s">
        <v>2</v>
      </c>
      <c r="D11" s="8" t="s">
        <v>162</v>
      </c>
      <c r="E11" s="9" t="s">
        <v>363</v>
      </c>
      <c r="F11" s="16" t="s">
        <v>290</v>
      </c>
      <c r="G11" s="8" t="s">
        <v>139</v>
      </c>
      <c r="H11" s="11" t="s">
        <v>26</v>
      </c>
      <c r="I11" s="11" t="s">
        <v>122</v>
      </c>
      <c r="J11" s="8" t="s">
        <v>133</v>
      </c>
      <c r="K11" s="15" t="s">
        <v>68</v>
      </c>
      <c r="L11" s="16">
        <v>45748</v>
      </c>
      <c r="M11" s="16">
        <v>47573</v>
      </c>
      <c r="N11" s="24">
        <v>8400000</v>
      </c>
      <c r="O11" s="67"/>
      <c r="P11" s="51">
        <v>11</v>
      </c>
      <c r="Q11" s="1"/>
      <c r="R11" s="2"/>
    </row>
    <row r="12" spans="1:28" ht="35.1" customHeight="1" x14ac:dyDescent="0.2">
      <c r="A12" s="64">
        <v>12</v>
      </c>
      <c r="B12" s="8" t="s">
        <v>170</v>
      </c>
      <c r="C12" s="11" t="s">
        <v>2</v>
      </c>
      <c r="D12" s="8" t="s">
        <v>165</v>
      </c>
      <c r="E12" s="9" t="s">
        <v>363</v>
      </c>
      <c r="F12" s="16" t="s">
        <v>292</v>
      </c>
      <c r="G12" s="8" t="s">
        <v>139</v>
      </c>
      <c r="H12" s="11" t="s">
        <v>26</v>
      </c>
      <c r="I12" s="11" t="s">
        <v>122</v>
      </c>
      <c r="J12" s="8" t="s">
        <v>133</v>
      </c>
      <c r="K12" s="15" t="s">
        <v>376</v>
      </c>
      <c r="L12" s="16">
        <v>44057</v>
      </c>
      <c r="M12" s="16">
        <v>46247</v>
      </c>
      <c r="N12" s="24">
        <v>3456120</v>
      </c>
      <c r="O12" s="12"/>
      <c r="P12" s="51">
        <v>12</v>
      </c>
      <c r="Q12" s="1"/>
      <c r="R12" s="2"/>
    </row>
    <row r="13" spans="1:28" ht="35.1" customHeight="1" x14ac:dyDescent="0.2">
      <c r="A13" s="64">
        <v>13</v>
      </c>
      <c r="B13" s="8" t="s">
        <v>355</v>
      </c>
      <c r="C13" s="11" t="s">
        <v>2</v>
      </c>
      <c r="D13" s="8" t="str">
        <f>_xlfn.CONCAT("Prefeitura Municipal de ",B13)</f>
        <v>Prefeitura Municipal de São Mateus</v>
      </c>
      <c r="E13" s="9" t="s">
        <v>363</v>
      </c>
      <c r="F13" s="16" t="s">
        <v>356</v>
      </c>
      <c r="G13" s="8" t="s">
        <v>139</v>
      </c>
      <c r="H13" s="11" t="s">
        <v>26</v>
      </c>
      <c r="I13" s="11" t="s">
        <v>122</v>
      </c>
      <c r="J13" s="8" t="s">
        <v>133</v>
      </c>
      <c r="K13" s="15" t="s">
        <v>70</v>
      </c>
      <c r="L13" s="16">
        <v>46000</v>
      </c>
      <c r="M13" s="16">
        <v>46365</v>
      </c>
      <c r="N13" s="34">
        <v>2879000</v>
      </c>
      <c r="O13" s="12"/>
      <c r="P13" s="53">
        <v>13</v>
      </c>
      <c r="Q13" s="1"/>
      <c r="R13" s="2"/>
    </row>
    <row r="14" spans="1:28" ht="35.1" customHeight="1" x14ac:dyDescent="0.2">
      <c r="A14" s="64">
        <v>14</v>
      </c>
      <c r="B14" s="8" t="s">
        <v>169</v>
      </c>
      <c r="C14" s="11" t="s">
        <v>2</v>
      </c>
      <c r="D14" s="8" t="s">
        <v>164</v>
      </c>
      <c r="E14" s="9" t="s">
        <v>363</v>
      </c>
      <c r="F14" s="16" t="s">
        <v>287</v>
      </c>
      <c r="G14" s="8" t="s">
        <v>139</v>
      </c>
      <c r="H14" s="11" t="s">
        <v>26</v>
      </c>
      <c r="I14" s="11" t="s">
        <v>122</v>
      </c>
      <c r="J14" s="8" t="s">
        <v>133</v>
      </c>
      <c r="K14" s="15" t="s">
        <v>377</v>
      </c>
      <c r="L14" s="16">
        <v>45462</v>
      </c>
      <c r="M14" s="16">
        <v>46191</v>
      </c>
      <c r="N14" s="34">
        <v>662400</v>
      </c>
      <c r="O14" s="67"/>
      <c r="P14" s="53">
        <v>14</v>
      </c>
      <c r="Q14" s="1"/>
      <c r="R14" s="2"/>
    </row>
    <row r="15" spans="1:28" ht="35.1" customHeight="1" x14ac:dyDescent="0.2">
      <c r="A15" s="64">
        <v>15</v>
      </c>
      <c r="B15" s="8" t="s">
        <v>168</v>
      </c>
      <c r="C15" s="11" t="s">
        <v>2</v>
      </c>
      <c r="D15" s="8" t="s">
        <v>163</v>
      </c>
      <c r="E15" s="9" t="s">
        <v>363</v>
      </c>
      <c r="F15" s="16" t="s">
        <v>291</v>
      </c>
      <c r="G15" s="8" t="s">
        <v>139</v>
      </c>
      <c r="H15" s="11" t="s">
        <v>26</v>
      </c>
      <c r="I15" s="11" t="s">
        <v>122</v>
      </c>
      <c r="J15" s="8" t="s">
        <v>133</v>
      </c>
      <c r="K15" s="15" t="s">
        <v>70</v>
      </c>
      <c r="L15" s="16">
        <v>45840</v>
      </c>
      <c r="M15" s="16">
        <v>46205</v>
      </c>
      <c r="N15" s="24">
        <v>1199700</v>
      </c>
      <c r="O15" s="12"/>
      <c r="P15" s="51">
        <v>15</v>
      </c>
      <c r="Q15" s="1"/>
      <c r="R15" s="2"/>
    </row>
    <row r="16" spans="1:28" s="80" customFormat="1" ht="35.1" customHeight="1" x14ac:dyDescent="0.2">
      <c r="A16" s="70">
        <v>16</v>
      </c>
      <c r="B16" s="71" t="s">
        <v>171</v>
      </c>
      <c r="C16" s="72" t="s">
        <v>2</v>
      </c>
      <c r="D16" s="71" t="s">
        <v>166</v>
      </c>
      <c r="E16" s="73" t="s">
        <v>363</v>
      </c>
      <c r="F16" s="74" t="s">
        <v>293</v>
      </c>
      <c r="G16" s="71" t="s">
        <v>139</v>
      </c>
      <c r="H16" s="72" t="s">
        <v>26</v>
      </c>
      <c r="I16" s="72" t="s">
        <v>122</v>
      </c>
      <c r="J16" s="71" t="s">
        <v>133</v>
      </c>
      <c r="K16" s="75" t="s">
        <v>380</v>
      </c>
      <c r="L16" s="74">
        <v>44500</v>
      </c>
      <c r="M16" s="74">
        <v>46022</v>
      </c>
      <c r="N16" s="76">
        <v>867538.35</v>
      </c>
      <c r="O16" s="69"/>
      <c r="P16" s="77">
        <v>16</v>
      </c>
      <c r="Q16" s="78"/>
      <c r="R16" s="79"/>
    </row>
    <row r="17" spans="1:18" ht="35.1" customHeight="1" x14ac:dyDescent="0.2">
      <c r="A17" s="64">
        <v>17</v>
      </c>
      <c r="B17" s="8" t="s">
        <v>179</v>
      </c>
      <c r="C17" s="11" t="s">
        <v>75</v>
      </c>
      <c r="D17" s="8" t="s">
        <v>324</v>
      </c>
      <c r="E17" s="9" t="s">
        <v>364</v>
      </c>
      <c r="F17" s="39" t="s">
        <v>328</v>
      </c>
      <c r="G17" s="8" t="s">
        <v>139</v>
      </c>
      <c r="H17" s="11" t="s">
        <v>26</v>
      </c>
      <c r="I17" s="11" t="s">
        <v>177</v>
      </c>
      <c r="J17" s="8" t="s">
        <v>133</v>
      </c>
      <c r="K17" s="8" t="s">
        <v>102</v>
      </c>
      <c r="L17" s="9">
        <v>45645</v>
      </c>
      <c r="M17" s="9">
        <v>46387</v>
      </c>
      <c r="N17" s="41">
        <v>29918400</v>
      </c>
      <c r="O17" s="67"/>
      <c r="P17" s="58">
        <v>17</v>
      </c>
      <c r="Q17" s="1"/>
      <c r="R17" s="2"/>
    </row>
    <row r="18" spans="1:18" ht="35.1" customHeight="1" x14ac:dyDescent="0.2">
      <c r="A18"/>
      <c r="B18" s="8" t="s">
        <v>0</v>
      </c>
      <c r="C18" s="11" t="s">
        <v>2</v>
      </c>
      <c r="D18" s="8" t="s">
        <v>137</v>
      </c>
      <c r="E18" s="8" t="s">
        <v>31</v>
      </c>
      <c r="F18" s="11" t="s">
        <v>9</v>
      </c>
      <c r="G18" s="8" t="s">
        <v>139</v>
      </c>
      <c r="H18" s="8" t="s">
        <v>25</v>
      </c>
      <c r="I18" s="8" t="s">
        <v>122</v>
      </c>
      <c r="J18" s="8" t="s">
        <v>21</v>
      </c>
      <c r="K18" s="8" t="s">
        <v>69</v>
      </c>
      <c r="L18" s="9">
        <v>41992</v>
      </c>
      <c r="M18" s="9">
        <v>44179</v>
      </c>
      <c r="N18" s="10">
        <v>463654967.48000002</v>
      </c>
      <c r="O18" s="12"/>
      <c r="P18" s="54"/>
      <c r="Q18" s="3"/>
      <c r="R18" s="2"/>
    </row>
    <row r="19" spans="1:18" ht="35.1" customHeight="1" x14ac:dyDescent="0.2">
      <c r="A19"/>
      <c r="B19" s="8" t="s">
        <v>17</v>
      </c>
      <c r="C19" s="11" t="s">
        <v>18</v>
      </c>
      <c r="D19" s="8" t="s">
        <v>140</v>
      </c>
      <c r="E19" s="9" t="s">
        <v>32</v>
      </c>
      <c r="F19" s="11" t="s">
        <v>22</v>
      </c>
      <c r="G19" s="8" t="s">
        <v>139</v>
      </c>
      <c r="H19" s="11" t="s">
        <v>25</v>
      </c>
      <c r="I19" s="11" t="s">
        <v>122</v>
      </c>
      <c r="J19" s="8" t="s">
        <v>21</v>
      </c>
      <c r="K19" s="8" t="s">
        <v>68</v>
      </c>
      <c r="L19" s="9">
        <v>40452</v>
      </c>
      <c r="M19" s="9">
        <v>42277</v>
      </c>
      <c r="N19" s="10">
        <v>449888251.80000001</v>
      </c>
      <c r="O19" s="12"/>
      <c r="P19" s="54"/>
      <c r="Q19" s="3"/>
      <c r="R19" s="2"/>
    </row>
    <row r="20" spans="1:18" ht="35.1" customHeight="1" x14ac:dyDescent="0.2">
      <c r="A20"/>
      <c r="B20" s="8" t="s">
        <v>17</v>
      </c>
      <c r="C20" s="11" t="s">
        <v>18</v>
      </c>
      <c r="D20" s="8" t="s">
        <v>140</v>
      </c>
      <c r="E20" s="9" t="s">
        <v>32</v>
      </c>
      <c r="F20" s="11" t="s">
        <v>23</v>
      </c>
      <c r="G20" s="8" t="s">
        <v>139</v>
      </c>
      <c r="H20" s="11" t="s">
        <v>25</v>
      </c>
      <c r="I20" s="11" t="s">
        <v>122</v>
      </c>
      <c r="J20" s="8" t="s">
        <v>21</v>
      </c>
      <c r="K20" s="8" t="s">
        <v>69</v>
      </c>
      <c r="L20" s="9">
        <v>42278</v>
      </c>
      <c r="M20" s="9">
        <v>44469</v>
      </c>
      <c r="N20" s="10">
        <v>449888251.80000001</v>
      </c>
      <c r="O20" s="13"/>
      <c r="P20" s="54"/>
      <c r="Q20" s="3"/>
      <c r="R20" s="4"/>
    </row>
    <row r="21" spans="1:18" ht="35.1" customHeight="1" x14ac:dyDescent="0.2">
      <c r="A21"/>
      <c r="B21" s="8" t="s">
        <v>17</v>
      </c>
      <c r="C21" s="11" t="s">
        <v>18</v>
      </c>
      <c r="D21" s="8" t="s">
        <v>140</v>
      </c>
      <c r="E21" s="9" t="s">
        <v>32</v>
      </c>
      <c r="F21" s="11" t="s">
        <v>24</v>
      </c>
      <c r="G21" s="8" t="s">
        <v>139</v>
      </c>
      <c r="H21" s="11" t="s">
        <v>25</v>
      </c>
      <c r="I21" s="11" t="s">
        <v>4</v>
      </c>
      <c r="J21" s="8" t="s">
        <v>20</v>
      </c>
      <c r="K21" s="8" t="s">
        <v>55</v>
      </c>
      <c r="L21" s="9">
        <v>44469</v>
      </c>
      <c r="M21" s="9">
        <v>44648</v>
      </c>
      <c r="N21" s="10">
        <v>449888251.80000001</v>
      </c>
      <c r="O21" s="12"/>
      <c r="P21" s="54"/>
      <c r="Q21" s="1"/>
      <c r="R21" s="2"/>
    </row>
    <row r="22" spans="1:18" ht="35.1" customHeight="1" x14ac:dyDescent="0.2">
      <c r="A22" s="64">
        <v>22</v>
      </c>
      <c r="B22" s="8" t="s">
        <v>180</v>
      </c>
      <c r="C22" s="11" t="s">
        <v>75</v>
      </c>
      <c r="D22" s="8" t="s">
        <v>324</v>
      </c>
      <c r="E22" s="9" t="s">
        <v>364</v>
      </c>
      <c r="F22" s="39" t="s">
        <v>328</v>
      </c>
      <c r="G22" s="8" t="s">
        <v>139</v>
      </c>
      <c r="H22" s="11" t="s">
        <v>26</v>
      </c>
      <c r="I22" s="11" t="s">
        <v>177</v>
      </c>
      <c r="J22" s="8" t="s">
        <v>133</v>
      </c>
      <c r="K22" s="8" t="s">
        <v>102</v>
      </c>
      <c r="L22" s="9">
        <v>45645</v>
      </c>
      <c r="M22" s="9">
        <v>46387</v>
      </c>
      <c r="N22" s="41">
        <v>29918400</v>
      </c>
      <c r="O22" s="12"/>
      <c r="P22" s="58">
        <v>22</v>
      </c>
      <c r="Q22" s="3"/>
      <c r="R22" s="2"/>
    </row>
    <row r="23" spans="1:18" ht="35.1" customHeight="1" x14ac:dyDescent="0.2">
      <c r="A23" s="64">
        <v>23</v>
      </c>
      <c r="B23" s="8" t="s">
        <v>181</v>
      </c>
      <c r="C23" s="11" t="s">
        <v>75</v>
      </c>
      <c r="D23" s="8" t="s">
        <v>324</v>
      </c>
      <c r="E23" s="9" t="s">
        <v>364</v>
      </c>
      <c r="F23" s="39" t="s">
        <v>328</v>
      </c>
      <c r="G23" s="8" t="s">
        <v>139</v>
      </c>
      <c r="H23" s="11" t="s">
        <v>26</v>
      </c>
      <c r="I23" s="11" t="s">
        <v>177</v>
      </c>
      <c r="J23" s="8" t="s">
        <v>133</v>
      </c>
      <c r="K23" s="8" t="s">
        <v>102</v>
      </c>
      <c r="L23" s="9">
        <v>45645</v>
      </c>
      <c r="M23" s="9">
        <v>46387</v>
      </c>
      <c r="N23" s="41">
        <v>29918400</v>
      </c>
      <c r="O23" s="27"/>
      <c r="P23" s="58">
        <v>23</v>
      </c>
    </row>
    <row r="24" spans="1:18" ht="35.1" customHeight="1" x14ac:dyDescent="0.2">
      <c r="A24" s="64">
        <v>24</v>
      </c>
      <c r="B24" s="8" t="s">
        <v>182</v>
      </c>
      <c r="C24" s="11" t="s">
        <v>75</v>
      </c>
      <c r="D24" s="8" t="s">
        <v>324</v>
      </c>
      <c r="E24" s="9" t="s">
        <v>364</v>
      </c>
      <c r="F24" s="39" t="s">
        <v>328</v>
      </c>
      <c r="G24" s="8" t="s">
        <v>139</v>
      </c>
      <c r="H24" s="11" t="s">
        <v>26</v>
      </c>
      <c r="I24" s="11" t="s">
        <v>177</v>
      </c>
      <c r="J24" s="8" t="s">
        <v>133</v>
      </c>
      <c r="K24" s="8" t="s">
        <v>102</v>
      </c>
      <c r="L24" s="9">
        <v>45645</v>
      </c>
      <c r="M24" s="9">
        <v>46387</v>
      </c>
      <c r="N24" s="41">
        <v>29918400</v>
      </c>
      <c r="O24" s="12"/>
      <c r="P24" s="58">
        <v>24</v>
      </c>
      <c r="Q24" s="3"/>
      <c r="R24" s="2"/>
    </row>
    <row r="25" spans="1:18" ht="35.1" hidden="1" customHeight="1" x14ac:dyDescent="0.2">
      <c r="B25" s="8"/>
      <c r="C25" s="11"/>
      <c r="D25" s="8"/>
      <c r="E25" s="9"/>
      <c r="F25" s="16"/>
      <c r="G25" s="8"/>
      <c r="H25" s="11"/>
      <c r="I25" s="11"/>
      <c r="J25" s="8"/>
      <c r="K25" s="8"/>
      <c r="L25" s="9"/>
      <c r="M25" s="9"/>
      <c r="N25" s="10"/>
      <c r="O25" s="12"/>
      <c r="P25" s="54"/>
      <c r="Q25" s="3"/>
      <c r="R25" s="2"/>
    </row>
    <row r="26" spans="1:18" ht="35.1" customHeight="1" x14ac:dyDescent="0.2">
      <c r="A26"/>
      <c r="B26" s="8" t="s">
        <v>0</v>
      </c>
      <c r="C26" s="11" t="s">
        <v>2</v>
      </c>
      <c r="D26" s="8" t="s">
        <v>137</v>
      </c>
      <c r="E26" s="8" t="s">
        <v>31</v>
      </c>
      <c r="F26" s="11" t="s">
        <v>15</v>
      </c>
      <c r="G26" s="8" t="s">
        <v>139</v>
      </c>
      <c r="H26" s="8" t="s">
        <v>25</v>
      </c>
      <c r="I26" s="8" t="s">
        <v>4</v>
      </c>
      <c r="J26" s="8" t="s">
        <v>20</v>
      </c>
      <c r="K26" s="8" t="s">
        <v>70</v>
      </c>
      <c r="L26" s="9">
        <v>45080</v>
      </c>
      <c r="M26" s="9">
        <v>45433</v>
      </c>
      <c r="N26" s="10">
        <v>128709822.05</v>
      </c>
      <c r="O26" s="12"/>
      <c r="P26" s="54"/>
      <c r="Q26" s="3"/>
      <c r="R26" s="2"/>
    </row>
    <row r="27" spans="1:18" ht="35.1" customHeight="1" x14ac:dyDescent="0.2">
      <c r="A27"/>
      <c r="B27" s="8" t="s">
        <v>0</v>
      </c>
      <c r="C27" s="11" t="s">
        <v>2</v>
      </c>
      <c r="D27" s="36"/>
      <c r="E27" s="8" t="s">
        <v>31</v>
      </c>
      <c r="F27" s="11" t="s">
        <v>14</v>
      </c>
      <c r="G27" s="8" t="s">
        <v>139</v>
      </c>
      <c r="H27" s="8" t="s">
        <v>25</v>
      </c>
      <c r="I27" s="8" t="s">
        <v>4</v>
      </c>
      <c r="J27" s="8" t="s">
        <v>20</v>
      </c>
      <c r="K27" s="8" t="s">
        <v>55</v>
      </c>
      <c r="L27" s="9">
        <v>44900</v>
      </c>
      <c r="M27" s="9">
        <v>45079</v>
      </c>
      <c r="N27" s="37"/>
      <c r="O27" s="27"/>
      <c r="P27" s="55"/>
    </row>
    <row r="28" spans="1:18" ht="35.1" customHeight="1" x14ac:dyDescent="0.2">
      <c r="A28"/>
      <c r="B28" s="8" t="s">
        <v>0</v>
      </c>
      <c r="C28" s="11" t="s">
        <v>2</v>
      </c>
      <c r="D28" s="36"/>
      <c r="E28" s="8" t="s">
        <v>31</v>
      </c>
      <c r="F28" s="11" t="s">
        <v>13</v>
      </c>
      <c r="G28" s="8" t="s">
        <v>139</v>
      </c>
      <c r="H28" s="8" t="s">
        <v>25</v>
      </c>
      <c r="I28" s="8" t="s">
        <v>4</v>
      </c>
      <c r="J28" s="8" t="s">
        <v>20</v>
      </c>
      <c r="K28" s="8" t="s">
        <v>55</v>
      </c>
      <c r="L28" s="9">
        <v>44720</v>
      </c>
      <c r="M28" s="9">
        <v>44899</v>
      </c>
      <c r="N28" s="37"/>
      <c r="O28" s="27"/>
      <c r="P28" s="55"/>
    </row>
    <row r="29" spans="1:18" ht="35.1" customHeight="1" x14ac:dyDescent="0.2">
      <c r="A29"/>
      <c r="B29" s="8" t="s">
        <v>17</v>
      </c>
      <c r="C29" s="11" t="s">
        <v>18</v>
      </c>
      <c r="D29" s="36"/>
      <c r="E29" s="9" t="s">
        <v>32</v>
      </c>
      <c r="F29" s="11" t="s">
        <v>19</v>
      </c>
      <c r="G29" s="8" t="s">
        <v>139</v>
      </c>
      <c r="H29" s="11" t="s">
        <v>25</v>
      </c>
      <c r="I29" s="11" t="s">
        <v>4</v>
      </c>
      <c r="J29" s="8" t="s">
        <v>20</v>
      </c>
      <c r="K29" s="8" t="s">
        <v>55</v>
      </c>
      <c r="L29" s="9">
        <v>40001</v>
      </c>
      <c r="M29" s="9">
        <v>39817</v>
      </c>
      <c r="N29" s="37"/>
      <c r="O29" s="12"/>
      <c r="P29" s="55"/>
      <c r="Q29" s="3"/>
      <c r="R29" s="2"/>
    </row>
    <row r="30" spans="1:18" ht="35.1" customHeight="1" x14ac:dyDescent="0.2">
      <c r="A30"/>
      <c r="B30" s="8" t="s">
        <v>0</v>
      </c>
      <c r="C30" s="11" t="s">
        <v>2</v>
      </c>
      <c r="D30" s="36"/>
      <c r="E30" s="8" t="s">
        <v>31</v>
      </c>
      <c r="F30" s="11" t="s">
        <v>12</v>
      </c>
      <c r="G30" s="8" t="s">
        <v>139</v>
      </c>
      <c r="H30" s="8" t="s">
        <v>25</v>
      </c>
      <c r="I30" s="8" t="s">
        <v>4</v>
      </c>
      <c r="J30" s="8" t="s">
        <v>20</v>
      </c>
      <c r="K30" s="8" t="s">
        <v>55</v>
      </c>
      <c r="L30" s="9">
        <v>44540</v>
      </c>
      <c r="M30" s="9">
        <v>44719</v>
      </c>
      <c r="N30" s="37"/>
      <c r="O30" s="27"/>
      <c r="P30" s="55"/>
    </row>
    <row r="31" spans="1:18" ht="35.1" customHeight="1" x14ac:dyDescent="0.2">
      <c r="A31"/>
      <c r="B31" s="8" t="s">
        <v>0</v>
      </c>
      <c r="C31" s="11" t="s">
        <v>2</v>
      </c>
      <c r="D31" s="36"/>
      <c r="E31" s="8" t="s">
        <v>31</v>
      </c>
      <c r="F31" s="11" t="s">
        <v>7</v>
      </c>
      <c r="G31" s="8" t="s">
        <v>139</v>
      </c>
      <c r="H31" s="8" t="s">
        <v>25</v>
      </c>
      <c r="I31" s="8" t="s">
        <v>4</v>
      </c>
      <c r="J31" s="8" t="s">
        <v>20</v>
      </c>
      <c r="K31" s="8" t="s">
        <v>55</v>
      </c>
      <c r="L31" s="9">
        <v>41632</v>
      </c>
      <c r="M31" s="9">
        <v>41811</v>
      </c>
      <c r="N31" s="37"/>
      <c r="O31" s="12"/>
      <c r="P31" s="55"/>
      <c r="Q31" s="3"/>
      <c r="R31" s="2"/>
    </row>
    <row r="32" spans="1:18" ht="35.1" customHeight="1" x14ac:dyDescent="0.2">
      <c r="A32"/>
      <c r="B32" s="8" t="s">
        <v>0</v>
      </c>
      <c r="C32" s="11" t="s">
        <v>2</v>
      </c>
      <c r="D32" s="36"/>
      <c r="E32" s="8" t="s">
        <v>31</v>
      </c>
      <c r="F32" s="11" t="s">
        <v>11</v>
      </c>
      <c r="G32" s="8" t="s">
        <v>139</v>
      </c>
      <c r="H32" s="8" t="s">
        <v>25</v>
      </c>
      <c r="I32" s="8" t="s">
        <v>4</v>
      </c>
      <c r="J32" s="8" t="s">
        <v>20</v>
      </c>
      <c r="K32" s="8" t="s">
        <v>55</v>
      </c>
      <c r="L32" s="9">
        <v>44360</v>
      </c>
      <c r="M32" s="9">
        <v>44539</v>
      </c>
      <c r="N32" s="37"/>
      <c r="O32" s="27"/>
      <c r="P32" s="55"/>
    </row>
    <row r="33" spans="1:18" ht="35.1" customHeight="1" x14ac:dyDescent="0.2">
      <c r="A33"/>
      <c r="B33" s="8" t="s">
        <v>0</v>
      </c>
      <c r="C33" s="11" t="s">
        <v>2</v>
      </c>
      <c r="D33" s="36"/>
      <c r="E33" s="8" t="s">
        <v>31</v>
      </c>
      <c r="F33" s="11" t="s">
        <v>8</v>
      </c>
      <c r="G33" s="8" t="s">
        <v>139</v>
      </c>
      <c r="H33" s="8" t="s">
        <v>25</v>
      </c>
      <c r="I33" s="8" t="s">
        <v>4</v>
      </c>
      <c r="J33" s="8" t="s">
        <v>20</v>
      </c>
      <c r="K33" s="8" t="s">
        <v>55</v>
      </c>
      <c r="L33" s="9">
        <v>41812</v>
      </c>
      <c r="M33" s="9">
        <v>41991</v>
      </c>
      <c r="N33" s="37"/>
      <c r="O33" s="27">
        <v>2013305023.8558886</v>
      </c>
      <c r="P33" s="55"/>
    </row>
    <row r="34" spans="1:18" ht="35.1" customHeight="1" x14ac:dyDescent="0.2">
      <c r="A34"/>
      <c r="B34" s="8" t="s">
        <v>0</v>
      </c>
      <c r="C34" s="11" t="s">
        <v>2</v>
      </c>
      <c r="D34" s="36"/>
      <c r="E34" s="8" t="s">
        <v>31</v>
      </c>
      <c r="F34" s="11" t="s">
        <v>10</v>
      </c>
      <c r="G34" s="8" t="s">
        <v>139</v>
      </c>
      <c r="H34" s="8" t="s">
        <v>25</v>
      </c>
      <c r="I34" s="8" t="s">
        <v>122</v>
      </c>
      <c r="J34" s="8" t="s">
        <v>21</v>
      </c>
      <c r="K34" s="8" t="s">
        <v>55</v>
      </c>
      <c r="L34" s="9">
        <v>44180</v>
      </c>
      <c r="M34" s="9">
        <v>44359</v>
      </c>
      <c r="N34" s="37"/>
      <c r="O34" s="12"/>
      <c r="P34" s="55"/>
      <c r="Q34" s="3"/>
      <c r="R34" s="2"/>
    </row>
    <row r="35" spans="1:18" ht="35.1" customHeight="1" x14ac:dyDescent="0.2">
      <c r="A35"/>
      <c r="B35" s="8" t="s">
        <v>0</v>
      </c>
      <c r="C35" s="11" t="s">
        <v>2</v>
      </c>
      <c r="D35" s="36"/>
      <c r="E35" s="8" t="s">
        <v>31</v>
      </c>
      <c r="F35" s="11" t="s">
        <v>6</v>
      </c>
      <c r="G35" s="8" t="s">
        <v>139</v>
      </c>
      <c r="H35" s="8" t="s">
        <v>25</v>
      </c>
      <c r="I35" s="8" t="s">
        <v>4</v>
      </c>
      <c r="J35" s="8" t="s">
        <v>20</v>
      </c>
      <c r="K35" s="8" t="s">
        <v>55</v>
      </c>
      <c r="L35" s="9">
        <v>41452</v>
      </c>
      <c r="M35" s="9">
        <v>41631</v>
      </c>
      <c r="N35" s="37"/>
      <c r="O35" s="12"/>
      <c r="P35" s="55"/>
      <c r="Q35" s="3"/>
      <c r="R35" s="2"/>
    </row>
    <row r="36" spans="1:18" ht="35.1" customHeight="1" x14ac:dyDescent="0.2">
      <c r="A36"/>
      <c r="B36" s="8" t="s">
        <v>0</v>
      </c>
      <c r="C36" s="11" t="s">
        <v>2</v>
      </c>
      <c r="D36" s="36"/>
      <c r="E36" s="9" t="s">
        <v>97</v>
      </c>
      <c r="F36" s="11" t="s">
        <v>5</v>
      </c>
      <c r="G36" s="8" t="s">
        <v>139</v>
      </c>
      <c r="H36" s="8" t="s">
        <v>25</v>
      </c>
      <c r="I36" s="8" t="s">
        <v>4</v>
      </c>
      <c r="J36" s="8" t="s">
        <v>20</v>
      </c>
      <c r="K36" s="8" t="s">
        <v>55</v>
      </c>
      <c r="L36" s="9">
        <v>41272</v>
      </c>
      <c r="M36" s="9">
        <v>41451</v>
      </c>
      <c r="N36" s="37"/>
      <c r="O36" s="12"/>
      <c r="P36" s="55"/>
      <c r="Q36" s="3"/>
      <c r="R36" s="2"/>
    </row>
    <row r="37" spans="1:18" ht="35.1" customHeight="1" x14ac:dyDescent="0.2">
      <c r="A37"/>
      <c r="B37" s="8" t="s">
        <v>0</v>
      </c>
      <c r="C37" s="11" t="s">
        <v>2</v>
      </c>
      <c r="D37" s="36"/>
      <c r="E37" s="9" t="s">
        <v>97</v>
      </c>
      <c r="F37" s="8" t="s">
        <v>33</v>
      </c>
      <c r="G37" s="8" t="s">
        <v>139</v>
      </c>
      <c r="H37" s="8" t="s">
        <v>25</v>
      </c>
      <c r="I37" s="8" t="s">
        <v>122</v>
      </c>
      <c r="J37" s="8" t="s">
        <v>21</v>
      </c>
      <c r="K37" s="8" t="s">
        <v>102</v>
      </c>
      <c r="L37" s="9">
        <v>34304</v>
      </c>
      <c r="M37" s="9">
        <v>35034</v>
      </c>
      <c r="N37" s="37"/>
      <c r="O37" s="12"/>
      <c r="P37" s="55"/>
      <c r="Q37" s="3"/>
      <c r="R37" s="2"/>
    </row>
    <row r="38" spans="1:18" ht="35.1" customHeight="1" x14ac:dyDescent="0.2">
      <c r="A38"/>
      <c r="B38" s="19" t="s">
        <v>0</v>
      </c>
      <c r="C38" s="20" t="s">
        <v>2</v>
      </c>
      <c r="D38" s="36"/>
      <c r="E38" s="9" t="s">
        <v>97</v>
      </c>
      <c r="F38" s="19" t="s">
        <v>34</v>
      </c>
      <c r="G38" s="8" t="s">
        <v>139</v>
      </c>
      <c r="H38" s="19" t="s">
        <v>25</v>
      </c>
      <c r="I38" s="19" t="s">
        <v>122</v>
      </c>
      <c r="J38" s="19" t="s">
        <v>21</v>
      </c>
      <c r="K38" s="19" t="s">
        <v>68</v>
      </c>
      <c r="L38" s="21">
        <v>34790</v>
      </c>
      <c r="M38" s="21">
        <v>36617</v>
      </c>
      <c r="N38" s="37"/>
      <c r="O38" s="12"/>
      <c r="P38" s="55"/>
      <c r="Q38" s="3"/>
      <c r="R38" s="2"/>
    </row>
    <row r="39" spans="1:18" ht="35.1" customHeight="1" x14ac:dyDescent="0.2">
      <c r="A39"/>
      <c r="B39" s="19" t="s">
        <v>0</v>
      </c>
      <c r="C39" s="20" t="s">
        <v>2</v>
      </c>
      <c r="D39" s="36"/>
      <c r="E39" s="9" t="s">
        <v>97</v>
      </c>
      <c r="F39" s="19" t="s">
        <v>35</v>
      </c>
      <c r="G39" s="8" t="s">
        <v>139</v>
      </c>
      <c r="H39" s="19" t="s">
        <v>25</v>
      </c>
      <c r="I39" s="19" t="s">
        <v>122</v>
      </c>
      <c r="J39" s="19" t="s">
        <v>21</v>
      </c>
      <c r="K39" s="19" t="s">
        <v>68</v>
      </c>
      <c r="L39" s="21">
        <v>36473</v>
      </c>
      <c r="M39" s="21">
        <v>36643</v>
      </c>
      <c r="N39" s="37"/>
      <c r="O39" s="12"/>
      <c r="P39" s="55"/>
      <c r="Q39" s="3"/>
      <c r="R39" s="2"/>
    </row>
    <row r="40" spans="1:18" ht="35.1" customHeight="1" x14ac:dyDescent="0.2">
      <c r="A40"/>
      <c r="B40" s="19" t="s">
        <v>0</v>
      </c>
      <c r="C40" s="20" t="s">
        <v>2</v>
      </c>
      <c r="D40" s="36"/>
      <c r="E40" s="9" t="s">
        <v>97</v>
      </c>
      <c r="F40" s="19" t="s">
        <v>36</v>
      </c>
      <c r="G40" s="8" t="s">
        <v>139</v>
      </c>
      <c r="H40" s="19" t="s">
        <v>25</v>
      </c>
      <c r="I40" s="19" t="s">
        <v>122</v>
      </c>
      <c r="J40" s="19" t="s">
        <v>21</v>
      </c>
      <c r="K40" s="19" t="s">
        <v>68</v>
      </c>
      <c r="L40" s="21">
        <v>36644</v>
      </c>
      <c r="M40" s="21">
        <v>38469</v>
      </c>
      <c r="N40" s="37"/>
      <c r="O40" s="12"/>
      <c r="P40" s="55"/>
      <c r="Q40" s="3"/>
      <c r="R40" s="2"/>
    </row>
    <row r="41" spans="1:18" ht="35.1" customHeight="1" x14ac:dyDescent="0.2">
      <c r="A41"/>
      <c r="B41" s="8" t="s">
        <v>0</v>
      </c>
      <c r="C41" s="11" t="s">
        <v>2</v>
      </c>
      <c r="D41" s="36"/>
      <c r="E41" s="9" t="s">
        <v>97</v>
      </c>
      <c r="F41" s="8" t="s">
        <v>3</v>
      </c>
      <c r="G41" s="8" t="s">
        <v>139</v>
      </c>
      <c r="H41" s="8" t="s">
        <v>25</v>
      </c>
      <c r="I41" s="8" t="s">
        <v>4</v>
      </c>
      <c r="J41" s="8" t="s">
        <v>20</v>
      </c>
      <c r="K41" s="8" t="s">
        <v>55</v>
      </c>
      <c r="L41" s="9">
        <v>41091</v>
      </c>
      <c r="M41" s="9">
        <v>41271</v>
      </c>
      <c r="N41" s="37"/>
      <c r="O41" s="27"/>
      <c r="P41" s="55"/>
    </row>
    <row r="42" spans="1:18" ht="35.1" customHeight="1" x14ac:dyDescent="0.2">
      <c r="A42" s="64">
        <v>42</v>
      </c>
      <c r="B42" s="8" t="s">
        <v>183</v>
      </c>
      <c r="C42" s="11" t="s">
        <v>75</v>
      </c>
      <c r="D42" s="38" t="s">
        <v>324</v>
      </c>
      <c r="E42" s="9" t="s">
        <v>364</v>
      </c>
      <c r="F42" s="39" t="s">
        <v>328</v>
      </c>
      <c r="G42" s="8" t="s">
        <v>139</v>
      </c>
      <c r="H42" s="11" t="s">
        <v>26</v>
      </c>
      <c r="I42" s="11" t="s">
        <v>177</v>
      </c>
      <c r="J42" s="8" t="s">
        <v>178</v>
      </c>
      <c r="K42" s="8" t="s">
        <v>102</v>
      </c>
      <c r="L42" s="9">
        <v>45645</v>
      </c>
      <c r="M42" s="9">
        <v>46387</v>
      </c>
      <c r="N42" s="40">
        <v>29918400</v>
      </c>
      <c r="O42" s="12"/>
      <c r="P42" s="62">
        <v>42</v>
      </c>
      <c r="Q42" s="3"/>
      <c r="R42" s="2"/>
    </row>
    <row r="43" spans="1:18" ht="35.1" customHeight="1" x14ac:dyDescent="0.2">
      <c r="A43" s="64">
        <v>43</v>
      </c>
      <c r="B43" s="8" t="s">
        <v>184</v>
      </c>
      <c r="C43" s="11" t="s">
        <v>75</v>
      </c>
      <c r="D43" s="38" t="s">
        <v>324</v>
      </c>
      <c r="E43" s="9" t="s">
        <v>364</v>
      </c>
      <c r="F43" s="39" t="s">
        <v>328</v>
      </c>
      <c r="G43" s="8" t="s">
        <v>139</v>
      </c>
      <c r="H43" s="11" t="s">
        <v>26</v>
      </c>
      <c r="I43" s="11" t="s">
        <v>177</v>
      </c>
      <c r="J43" s="8" t="s">
        <v>178</v>
      </c>
      <c r="K43" s="8" t="s">
        <v>102</v>
      </c>
      <c r="L43" s="9">
        <v>45645</v>
      </c>
      <c r="M43" s="9">
        <v>46387</v>
      </c>
      <c r="N43" s="40">
        <v>29918400</v>
      </c>
      <c r="O43" s="12"/>
      <c r="P43" s="62">
        <v>43</v>
      </c>
      <c r="Q43" s="3"/>
      <c r="R43" s="2"/>
    </row>
    <row r="44" spans="1:18" ht="35.1" customHeight="1" x14ac:dyDescent="0.2">
      <c r="A44" s="64">
        <v>44</v>
      </c>
      <c r="B44" s="8" t="s">
        <v>185</v>
      </c>
      <c r="C44" s="11" t="s">
        <v>75</v>
      </c>
      <c r="D44" s="38" t="s">
        <v>324</v>
      </c>
      <c r="E44" s="9" t="s">
        <v>364</v>
      </c>
      <c r="F44" s="39" t="s">
        <v>328</v>
      </c>
      <c r="G44" s="8" t="s">
        <v>139</v>
      </c>
      <c r="H44" s="11" t="s">
        <v>26</v>
      </c>
      <c r="I44" s="11" t="s">
        <v>177</v>
      </c>
      <c r="J44" s="8" t="s">
        <v>178</v>
      </c>
      <c r="K44" s="8" t="s">
        <v>102</v>
      </c>
      <c r="L44" s="9">
        <v>45645</v>
      </c>
      <c r="M44" s="9">
        <v>46387</v>
      </c>
      <c r="N44" s="40">
        <v>29918400</v>
      </c>
      <c r="O44" s="12"/>
      <c r="P44" s="62">
        <v>44</v>
      </c>
      <c r="Q44" s="3"/>
      <c r="R44" s="2"/>
    </row>
    <row r="45" spans="1:18" ht="35.1" customHeight="1" x14ac:dyDescent="0.2">
      <c r="A45" s="64">
        <v>45</v>
      </c>
      <c r="B45" s="8" t="s">
        <v>186</v>
      </c>
      <c r="C45" s="11" t="s">
        <v>75</v>
      </c>
      <c r="D45" s="38" t="s">
        <v>324</v>
      </c>
      <c r="E45" s="9" t="s">
        <v>364</v>
      </c>
      <c r="F45" s="39" t="s">
        <v>328</v>
      </c>
      <c r="G45" s="8" t="s">
        <v>139</v>
      </c>
      <c r="H45" s="11" t="s">
        <v>26</v>
      </c>
      <c r="I45" s="11" t="s">
        <v>177</v>
      </c>
      <c r="J45" s="8" t="s">
        <v>133</v>
      </c>
      <c r="K45" s="8" t="s">
        <v>102</v>
      </c>
      <c r="L45" s="9">
        <v>45645</v>
      </c>
      <c r="M45" s="9">
        <v>46387</v>
      </c>
      <c r="N45" s="40">
        <v>29918400</v>
      </c>
      <c r="O45" s="17"/>
      <c r="P45" s="62">
        <v>45</v>
      </c>
      <c r="Q45" s="3"/>
      <c r="R45" s="2"/>
    </row>
    <row r="46" spans="1:18" ht="35.1" customHeight="1" x14ac:dyDescent="0.2">
      <c r="A46" s="64">
        <v>46</v>
      </c>
      <c r="B46" s="8" t="s">
        <v>187</v>
      </c>
      <c r="C46" s="11" t="s">
        <v>75</v>
      </c>
      <c r="D46" s="38" t="s">
        <v>324</v>
      </c>
      <c r="E46" s="9" t="s">
        <v>364</v>
      </c>
      <c r="F46" s="39" t="s">
        <v>328</v>
      </c>
      <c r="G46" s="8" t="s">
        <v>139</v>
      </c>
      <c r="H46" s="11" t="s">
        <v>26</v>
      </c>
      <c r="I46" s="11" t="s">
        <v>177</v>
      </c>
      <c r="J46" s="8" t="s">
        <v>133</v>
      </c>
      <c r="K46" s="8" t="s">
        <v>102</v>
      </c>
      <c r="L46" s="9">
        <v>45645</v>
      </c>
      <c r="M46" s="9">
        <v>46387</v>
      </c>
      <c r="N46" s="40">
        <v>29918400</v>
      </c>
      <c r="O46" s="12"/>
      <c r="P46" s="62">
        <v>46</v>
      </c>
      <c r="Q46" s="3"/>
      <c r="R46" s="2"/>
    </row>
    <row r="47" spans="1:18" ht="35.1" customHeight="1" x14ac:dyDescent="0.2">
      <c r="A47" s="64">
        <v>47</v>
      </c>
      <c r="B47" s="8" t="s">
        <v>188</v>
      </c>
      <c r="C47" s="11" t="s">
        <v>75</v>
      </c>
      <c r="D47" s="38" t="s">
        <v>324</v>
      </c>
      <c r="E47" s="9" t="s">
        <v>364</v>
      </c>
      <c r="F47" s="39" t="s">
        <v>328</v>
      </c>
      <c r="G47" s="8" t="s">
        <v>139</v>
      </c>
      <c r="H47" s="11" t="s">
        <v>26</v>
      </c>
      <c r="I47" s="11" t="s">
        <v>177</v>
      </c>
      <c r="J47" s="8" t="s">
        <v>133</v>
      </c>
      <c r="K47" s="8" t="s">
        <v>102</v>
      </c>
      <c r="L47" s="9">
        <v>45645</v>
      </c>
      <c r="M47" s="9">
        <v>46387</v>
      </c>
      <c r="N47" s="40">
        <v>29918400</v>
      </c>
      <c r="O47" s="67"/>
      <c r="P47" s="62">
        <v>47</v>
      </c>
      <c r="Q47" s="3"/>
      <c r="R47" s="2"/>
    </row>
    <row r="48" spans="1:18" ht="35.1" customHeight="1" x14ac:dyDescent="0.2">
      <c r="A48" s="64">
        <v>48</v>
      </c>
      <c r="B48" s="8" t="s">
        <v>189</v>
      </c>
      <c r="C48" s="11" t="s">
        <v>75</v>
      </c>
      <c r="D48" s="38" t="s">
        <v>324</v>
      </c>
      <c r="E48" s="9" t="s">
        <v>364</v>
      </c>
      <c r="F48" s="39" t="s">
        <v>328</v>
      </c>
      <c r="G48" s="8" t="s">
        <v>139</v>
      </c>
      <c r="H48" s="11" t="s">
        <v>26</v>
      </c>
      <c r="I48" s="11" t="s">
        <v>177</v>
      </c>
      <c r="J48" s="8" t="s">
        <v>133</v>
      </c>
      <c r="K48" s="8" t="s">
        <v>102</v>
      </c>
      <c r="L48" s="9">
        <v>45645</v>
      </c>
      <c r="M48" s="9">
        <v>46387</v>
      </c>
      <c r="N48" s="40">
        <v>29918400</v>
      </c>
      <c r="O48" s="12"/>
      <c r="P48" s="62">
        <v>48</v>
      </c>
      <c r="Q48" s="3"/>
      <c r="R48" s="2"/>
    </row>
    <row r="49" spans="1:18" ht="35.1" customHeight="1" x14ac:dyDescent="0.2">
      <c r="A49" s="64">
        <v>49</v>
      </c>
      <c r="B49" s="8" t="s">
        <v>190</v>
      </c>
      <c r="C49" s="11" t="s">
        <v>75</v>
      </c>
      <c r="D49" s="38" t="s">
        <v>324</v>
      </c>
      <c r="E49" s="9" t="s">
        <v>364</v>
      </c>
      <c r="F49" s="39" t="s">
        <v>328</v>
      </c>
      <c r="G49" s="8" t="s">
        <v>139</v>
      </c>
      <c r="H49" s="11" t="s">
        <v>26</v>
      </c>
      <c r="I49" s="11" t="s">
        <v>177</v>
      </c>
      <c r="J49" s="8" t="s">
        <v>133</v>
      </c>
      <c r="K49" s="8" t="s">
        <v>102</v>
      </c>
      <c r="L49" s="9">
        <v>45645</v>
      </c>
      <c r="M49" s="9">
        <v>46387</v>
      </c>
      <c r="N49" s="40">
        <v>29918400</v>
      </c>
      <c r="O49" s="27"/>
      <c r="P49" s="62">
        <v>49</v>
      </c>
    </row>
    <row r="50" spans="1:18" ht="35.1" hidden="1" customHeight="1" x14ac:dyDescent="0.2">
      <c r="A50" s="43">
        <v>50</v>
      </c>
      <c r="B50" s="44" t="s">
        <v>172</v>
      </c>
      <c r="C50" s="32" t="s">
        <v>75</v>
      </c>
      <c r="D50" s="45" t="str">
        <f>_xlfn.CONCAT("Prefeitura Municipal de ",B50)</f>
        <v>Prefeitura Municipal de Barreirinhas</v>
      </c>
      <c r="E50" s="46" t="s">
        <v>364</v>
      </c>
      <c r="F50" s="47" t="s">
        <v>331</v>
      </c>
      <c r="G50" s="44" t="s">
        <v>381</v>
      </c>
      <c r="H50" s="32" t="s">
        <v>26</v>
      </c>
      <c r="I50" s="32" t="s">
        <v>177</v>
      </c>
      <c r="J50" s="44" t="s">
        <v>133</v>
      </c>
      <c r="K50" s="44" t="s">
        <v>332</v>
      </c>
      <c r="L50" s="46">
        <v>45940</v>
      </c>
      <c r="M50" s="46">
        <v>46305</v>
      </c>
      <c r="N50" s="48">
        <v>2376000</v>
      </c>
      <c r="O50" s="14"/>
      <c r="P50" s="56">
        <v>50</v>
      </c>
      <c r="Q50" s="3"/>
      <c r="R50" s="2"/>
    </row>
    <row r="51" spans="1:18" ht="35.1" hidden="1" customHeight="1" x14ac:dyDescent="0.2">
      <c r="A51" s="43">
        <v>51</v>
      </c>
      <c r="B51" s="44" t="s">
        <v>175</v>
      </c>
      <c r="C51" s="32" t="s">
        <v>75</v>
      </c>
      <c r="D51" s="45" t="str">
        <f>_xlfn.CONCAT("Prefeitura Municipal de ",B51)</f>
        <v>Prefeitura Municipal de Itapecuru Mirim</v>
      </c>
      <c r="E51" s="46" t="s">
        <v>364</v>
      </c>
      <c r="F51" s="47" t="s">
        <v>336</v>
      </c>
      <c r="G51" s="44" t="s">
        <v>381</v>
      </c>
      <c r="H51" s="32" t="s">
        <v>26</v>
      </c>
      <c r="I51" s="32" t="s">
        <v>177</v>
      </c>
      <c r="J51" s="44" t="s">
        <v>133</v>
      </c>
      <c r="K51" s="44" t="s">
        <v>332</v>
      </c>
      <c r="L51" s="46">
        <v>45898</v>
      </c>
      <c r="M51" s="46">
        <v>46263</v>
      </c>
      <c r="N51" s="48">
        <v>1980000</v>
      </c>
      <c r="O51" s="14"/>
      <c r="P51" s="56">
        <v>51</v>
      </c>
      <c r="Q51" s="3"/>
      <c r="R51" s="2"/>
    </row>
    <row r="52" spans="1:18" ht="35.1" hidden="1" customHeight="1" x14ac:dyDescent="0.2">
      <c r="A52" s="43">
        <v>52</v>
      </c>
      <c r="B52" s="44" t="s">
        <v>173</v>
      </c>
      <c r="C52" s="32" t="s">
        <v>75</v>
      </c>
      <c r="D52" s="45" t="str">
        <f>_xlfn.CONCAT("Prefeitura Municipal de ",B52)</f>
        <v>Prefeitura Municipal de Santo Amaro do Maranhão</v>
      </c>
      <c r="E52" s="46" t="s">
        <v>364</v>
      </c>
      <c r="F52" s="47" t="s">
        <v>333</v>
      </c>
      <c r="G52" s="44" t="s">
        <v>381</v>
      </c>
      <c r="H52" s="32" t="s">
        <v>26</v>
      </c>
      <c r="I52" s="32" t="s">
        <v>177</v>
      </c>
      <c r="J52" s="44" t="s">
        <v>133</v>
      </c>
      <c r="K52" s="44" t="s">
        <v>334</v>
      </c>
      <c r="L52" s="46">
        <v>44434</v>
      </c>
      <c r="M52" s="46">
        <v>46048</v>
      </c>
      <c r="N52" s="48">
        <v>427810.18</v>
      </c>
      <c r="O52" s="14"/>
      <c r="P52" s="56">
        <v>52</v>
      </c>
      <c r="Q52" s="3"/>
      <c r="R52" s="2"/>
    </row>
    <row r="53" spans="1:18" ht="35.1" hidden="1" customHeight="1" x14ac:dyDescent="0.2">
      <c r="A53" s="43">
        <v>53</v>
      </c>
      <c r="B53" s="44" t="s">
        <v>174</v>
      </c>
      <c r="C53" s="32" t="s">
        <v>75</v>
      </c>
      <c r="D53" s="45" t="str">
        <f>_xlfn.CONCAT("Prefeitura Municipal de ",B53)</f>
        <v>Prefeitura Municipal de Vitória do Mearim</v>
      </c>
      <c r="E53" s="46" t="s">
        <v>364</v>
      </c>
      <c r="F53" s="47" t="s">
        <v>335</v>
      </c>
      <c r="G53" s="44" t="s">
        <v>381</v>
      </c>
      <c r="H53" s="32" t="s">
        <v>26</v>
      </c>
      <c r="I53" s="32" t="s">
        <v>177</v>
      </c>
      <c r="J53" s="44" t="s">
        <v>133</v>
      </c>
      <c r="K53" s="44" t="s">
        <v>332</v>
      </c>
      <c r="L53" s="46">
        <v>45876</v>
      </c>
      <c r="M53" s="46">
        <v>46241</v>
      </c>
      <c r="N53" s="48">
        <v>396000</v>
      </c>
      <c r="O53" s="14"/>
      <c r="P53" s="56">
        <v>53</v>
      </c>
      <c r="Q53" s="3"/>
      <c r="R53" s="2"/>
    </row>
    <row r="54" spans="1:18" ht="35.1" hidden="1" customHeight="1" x14ac:dyDescent="0.2">
      <c r="A54" s="43">
        <v>54</v>
      </c>
      <c r="B54" s="44" t="s">
        <v>176</v>
      </c>
      <c r="C54" s="32" t="s">
        <v>75</v>
      </c>
      <c r="D54" s="44" t="str">
        <f>_xlfn.CONCAT("Prefeitura Municipal de ",B54)</f>
        <v>Prefeitura Municipal de Viana</v>
      </c>
      <c r="E54" s="46" t="s">
        <v>364</v>
      </c>
      <c r="F54" s="47" t="s">
        <v>337</v>
      </c>
      <c r="G54" s="44" t="s">
        <v>381</v>
      </c>
      <c r="H54" s="32" t="s">
        <v>26</v>
      </c>
      <c r="I54" s="32" t="s">
        <v>177</v>
      </c>
      <c r="J54" s="44" t="s">
        <v>133</v>
      </c>
      <c r="K54" s="44" t="s">
        <v>332</v>
      </c>
      <c r="L54" s="46">
        <v>45713</v>
      </c>
      <c r="M54" s="46">
        <v>46078</v>
      </c>
      <c r="N54" s="49">
        <v>396000</v>
      </c>
      <c r="O54" s="27"/>
      <c r="P54" s="57">
        <v>54</v>
      </c>
    </row>
    <row r="55" spans="1:18" ht="35.1" customHeight="1" x14ac:dyDescent="0.2">
      <c r="A55" s="64">
        <v>55</v>
      </c>
      <c r="B55" s="8" t="s">
        <v>83</v>
      </c>
      <c r="C55" s="11" t="s">
        <v>38</v>
      </c>
      <c r="D55" s="8" t="s">
        <v>151</v>
      </c>
      <c r="E55" s="9" t="s">
        <v>115</v>
      </c>
      <c r="F55" s="11" t="s">
        <v>88</v>
      </c>
      <c r="G55" s="8" t="s">
        <v>139</v>
      </c>
      <c r="H55" s="11" t="s">
        <v>26</v>
      </c>
      <c r="I55" s="9" t="s">
        <v>126</v>
      </c>
      <c r="J55" s="8" t="s">
        <v>123</v>
      </c>
      <c r="K55" s="8" t="s">
        <v>382</v>
      </c>
      <c r="L55" s="9">
        <v>39479</v>
      </c>
      <c r="M55" s="9">
        <v>46783</v>
      </c>
      <c r="N55" s="27">
        <v>562200000</v>
      </c>
      <c r="O55" s="12"/>
      <c r="P55" s="52">
        <v>55</v>
      </c>
      <c r="Q55" s="3"/>
      <c r="R55" s="2"/>
    </row>
    <row r="56" spans="1:18" ht="35.1" customHeight="1" x14ac:dyDescent="0.2">
      <c r="A56" s="64">
        <v>56</v>
      </c>
      <c r="B56" s="8" t="s">
        <v>111</v>
      </c>
      <c r="C56" s="11" t="s">
        <v>109</v>
      </c>
      <c r="D56" s="8" t="s">
        <v>148</v>
      </c>
      <c r="E56" s="9" t="s">
        <v>115</v>
      </c>
      <c r="F56" s="16" t="s">
        <v>112</v>
      </c>
      <c r="G56" s="8" t="s">
        <v>139</v>
      </c>
      <c r="H56" s="11" t="s">
        <v>26</v>
      </c>
      <c r="I56" s="9" t="s">
        <v>126</v>
      </c>
      <c r="J56" s="8" t="s">
        <v>123</v>
      </c>
      <c r="K56" s="8" t="s">
        <v>48</v>
      </c>
      <c r="L56" s="9">
        <v>39142</v>
      </c>
      <c r="M56" s="9">
        <v>48274</v>
      </c>
      <c r="N56" s="27">
        <v>235856526</v>
      </c>
      <c r="O56" s="12"/>
      <c r="P56" s="52">
        <v>56</v>
      </c>
      <c r="Q56" s="3"/>
      <c r="R56" s="2"/>
    </row>
    <row r="57" spans="1:18" x14ac:dyDescent="0.2">
      <c r="A57" s="64">
        <v>57</v>
      </c>
      <c r="B57" s="8" t="s">
        <v>17</v>
      </c>
      <c r="C57" s="11" t="s">
        <v>18</v>
      </c>
      <c r="D57" s="8" t="s">
        <v>140</v>
      </c>
      <c r="E57" s="9" t="s">
        <v>359</v>
      </c>
      <c r="F57" s="9" t="s">
        <v>383</v>
      </c>
      <c r="G57" s="8" t="s">
        <v>139</v>
      </c>
      <c r="H57" s="11" t="s">
        <v>26</v>
      </c>
      <c r="I57" s="11" t="s">
        <v>122</v>
      </c>
      <c r="J57" s="8" t="s">
        <v>21</v>
      </c>
      <c r="K57" s="8" t="s">
        <v>68</v>
      </c>
      <c r="L57" s="9">
        <v>44649</v>
      </c>
      <c r="M57" s="9">
        <v>46474</v>
      </c>
      <c r="N57" s="27">
        <v>685793484.16999996</v>
      </c>
      <c r="O57" s="12"/>
      <c r="P57" s="52">
        <v>57</v>
      </c>
      <c r="Q57" s="3"/>
      <c r="R57" s="2"/>
    </row>
    <row r="58" spans="1:18" ht="35.1" customHeight="1" x14ac:dyDescent="0.2">
      <c r="A58" s="64">
        <v>58</v>
      </c>
      <c r="B58" s="8" t="s">
        <v>17</v>
      </c>
      <c r="C58" s="11" t="s">
        <v>18</v>
      </c>
      <c r="D58" s="8" t="s">
        <v>140</v>
      </c>
      <c r="E58" s="9" t="s">
        <v>358</v>
      </c>
      <c r="F58" s="9" t="s">
        <v>384</v>
      </c>
      <c r="G58" s="8" t="s">
        <v>139</v>
      </c>
      <c r="H58" s="11" t="s">
        <v>26</v>
      </c>
      <c r="I58" s="11" t="s">
        <v>122</v>
      </c>
      <c r="J58" s="8" t="s">
        <v>21</v>
      </c>
      <c r="K58" s="8" t="s">
        <v>68</v>
      </c>
      <c r="L58" s="9">
        <v>44649</v>
      </c>
      <c r="M58" s="9">
        <v>46474</v>
      </c>
      <c r="N58" s="27">
        <v>288409840.58999997</v>
      </c>
      <c r="O58" s="27"/>
      <c r="P58" s="52">
        <v>58</v>
      </c>
    </row>
    <row r="59" spans="1:18" ht="35.1" customHeight="1" x14ac:dyDescent="0.2">
      <c r="A59" s="64">
        <v>59</v>
      </c>
      <c r="B59" s="8" t="s">
        <v>130</v>
      </c>
      <c r="C59" s="11" t="s">
        <v>2</v>
      </c>
      <c r="D59" s="8" t="s">
        <v>146</v>
      </c>
      <c r="E59" s="9" t="s">
        <v>132</v>
      </c>
      <c r="F59" s="16" t="s">
        <v>131</v>
      </c>
      <c r="G59" s="8" t="s">
        <v>139</v>
      </c>
      <c r="H59" s="11" t="s">
        <v>26</v>
      </c>
      <c r="I59" s="11" t="s">
        <v>122</v>
      </c>
      <c r="J59" s="8" t="s">
        <v>133</v>
      </c>
      <c r="K59" s="8" t="s">
        <v>68</v>
      </c>
      <c r="L59" s="9">
        <v>45979</v>
      </c>
      <c r="M59" s="9">
        <v>47805</v>
      </c>
      <c r="N59" s="27">
        <v>777836159.26999998</v>
      </c>
      <c r="O59" s="27"/>
      <c r="P59" s="52">
        <v>59</v>
      </c>
    </row>
    <row r="60" spans="1:18" ht="35.1" customHeight="1" x14ac:dyDescent="0.2">
      <c r="A60" s="64">
        <v>60</v>
      </c>
      <c r="B60" s="8" t="s">
        <v>0</v>
      </c>
      <c r="C60" s="11" t="s">
        <v>2</v>
      </c>
      <c r="D60" s="8" t="s">
        <v>137</v>
      </c>
      <c r="E60" s="8" t="s">
        <v>42</v>
      </c>
      <c r="F60" s="11" t="s">
        <v>16</v>
      </c>
      <c r="G60" s="8" t="s">
        <v>139</v>
      </c>
      <c r="H60" s="11" t="s">
        <v>26</v>
      </c>
      <c r="I60" s="8" t="s">
        <v>122</v>
      </c>
      <c r="J60" s="8" t="s">
        <v>133</v>
      </c>
      <c r="K60" s="8" t="s">
        <v>68</v>
      </c>
      <c r="L60" s="9">
        <v>45434</v>
      </c>
      <c r="M60" s="9">
        <v>47242</v>
      </c>
      <c r="N60" s="27">
        <v>839679366.33000004</v>
      </c>
      <c r="O60" s="27"/>
      <c r="P60" s="52">
        <v>60</v>
      </c>
    </row>
    <row r="61" spans="1:18" ht="35.1" customHeight="1" x14ac:dyDescent="0.2">
      <c r="A61" s="64">
        <v>61</v>
      </c>
      <c r="B61" s="8" t="s">
        <v>108</v>
      </c>
      <c r="C61" s="11" t="s">
        <v>109</v>
      </c>
      <c r="D61" s="8" t="s">
        <v>147</v>
      </c>
      <c r="E61" s="9" t="s">
        <v>115</v>
      </c>
      <c r="F61" s="16" t="s">
        <v>110</v>
      </c>
      <c r="G61" s="8" t="s">
        <v>139</v>
      </c>
      <c r="H61" s="11" t="s">
        <v>26</v>
      </c>
      <c r="I61" s="9" t="s">
        <v>126</v>
      </c>
      <c r="J61" s="8" t="s">
        <v>123</v>
      </c>
      <c r="K61" s="8" t="s">
        <v>48</v>
      </c>
      <c r="L61" s="9">
        <v>37258</v>
      </c>
      <c r="M61" s="9">
        <v>46389</v>
      </c>
      <c r="N61" s="34">
        <v>95856993.170000002</v>
      </c>
      <c r="O61"/>
      <c r="P61" s="53">
        <v>61</v>
      </c>
    </row>
    <row r="62" spans="1:18" ht="35.1" customHeight="1" x14ac:dyDescent="0.2">
      <c r="A62" s="64">
        <v>62</v>
      </c>
      <c r="B62" s="8" t="s">
        <v>196</v>
      </c>
      <c r="C62" s="11" t="s">
        <v>109</v>
      </c>
      <c r="D62" s="8" t="s">
        <v>205</v>
      </c>
      <c r="E62" s="9" t="s">
        <v>115</v>
      </c>
      <c r="F62" s="16" t="s">
        <v>321</v>
      </c>
      <c r="G62" s="8" t="s">
        <v>139</v>
      </c>
      <c r="H62" s="11" t="s">
        <v>26</v>
      </c>
      <c r="I62" s="11" t="s">
        <v>122</v>
      </c>
      <c r="J62" s="8" t="s">
        <v>21</v>
      </c>
      <c r="K62" s="42" t="s">
        <v>368</v>
      </c>
      <c r="L62" s="16">
        <v>45601</v>
      </c>
      <c r="M62" s="16">
        <v>46331</v>
      </c>
      <c r="N62" s="24">
        <v>6920340</v>
      </c>
      <c r="O62"/>
      <c r="P62" s="51">
        <v>62</v>
      </c>
    </row>
    <row r="63" spans="1:18" ht="35.1" customHeight="1" x14ac:dyDescent="0.2">
      <c r="A63" s="64">
        <v>63</v>
      </c>
      <c r="B63" s="8" t="s">
        <v>204</v>
      </c>
      <c r="C63" s="11" t="s">
        <v>109</v>
      </c>
      <c r="D63" s="8" t="str">
        <f t="shared" ref="D63:D74" si="0">_xlfn.CONCAT("Prefeitura Municipal de ",B63)</f>
        <v>Prefeitura Municipal de Ubá</v>
      </c>
      <c r="E63" s="9" t="s">
        <v>115</v>
      </c>
      <c r="F63" s="16" t="s">
        <v>343</v>
      </c>
      <c r="G63" s="8" t="s">
        <v>139</v>
      </c>
      <c r="H63" s="11" t="s">
        <v>26</v>
      </c>
      <c r="I63" s="11" t="s">
        <v>122</v>
      </c>
      <c r="J63" s="8" t="s">
        <v>21</v>
      </c>
      <c r="K63" s="42" t="s">
        <v>369</v>
      </c>
      <c r="L63" s="16">
        <v>45019</v>
      </c>
      <c r="M63" s="16">
        <v>46116</v>
      </c>
      <c r="N63" s="24">
        <v>2666400</v>
      </c>
      <c r="O63"/>
      <c r="P63" s="51">
        <v>63</v>
      </c>
    </row>
    <row r="64" spans="1:18" ht="35.1" customHeight="1" x14ac:dyDescent="0.2">
      <c r="A64" s="64">
        <v>64</v>
      </c>
      <c r="B64" s="8" t="s">
        <v>203</v>
      </c>
      <c r="C64" s="11" t="s">
        <v>109</v>
      </c>
      <c r="D64" s="8" t="str">
        <f t="shared" si="0"/>
        <v>Prefeitura Municipal de Santos Dumont</v>
      </c>
      <c r="E64" s="9" t="s">
        <v>115</v>
      </c>
      <c r="F64" s="16" t="s">
        <v>277</v>
      </c>
      <c r="G64" s="8" t="s">
        <v>139</v>
      </c>
      <c r="H64" s="11" t="s">
        <v>26</v>
      </c>
      <c r="I64" s="11" t="s">
        <v>122</v>
      </c>
      <c r="J64" s="8" t="s">
        <v>21</v>
      </c>
      <c r="K64" s="42" t="s">
        <v>370</v>
      </c>
      <c r="L64" s="16">
        <v>44187</v>
      </c>
      <c r="M64" s="16">
        <v>46012</v>
      </c>
      <c r="N64" s="24">
        <v>907200</v>
      </c>
      <c r="O64"/>
      <c r="P64" s="51">
        <v>64</v>
      </c>
    </row>
    <row r="65" spans="1:18" ht="35.1" customHeight="1" x14ac:dyDescent="0.2">
      <c r="A65" s="64">
        <v>65</v>
      </c>
      <c r="B65" s="8" t="s">
        <v>201</v>
      </c>
      <c r="C65" s="11" t="s">
        <v>109</v>
      </c>
      <c r="D65" s="8" t="str">
        <f t="shared" si="0"/>
        <v>Prefeitura Municipal de Mercês</v>
      </c>
      <c r="E65" s="9" t="s">
        <v>115</v>
      </c>
      <c r="F65" s="16" t="s">
        <v>275</v>
      </c>
      <c r="G65" s="8" t="s">
        <v>139</v>
      </c>
      <c r="H65" s="11" t="s">
        <v>26</v>
      </c>
      <c r="I65" s="11" t="s">
        <v>122</v>
      </c>
      <c r="J65" s="8" t="s">
        <v>21</v>
      </c>
      <c r="K65" s="42" t="s">
        <v>371</v>
      </c>
      <c r="L65" s="16">
        <v>44726</v>
      </c>
      <c r="M65" s="16">
        <v>46187</v>
      </c>
      <c r="N65" s="24">
        <v>840000</v>
      </c>
      <c r="O65"/>
      <c r="P65" s="51">
        <v>65</v>
      </c>
    </row>
    <row r="66" spans="1:18" ht="35.1" customHeight="1" x14ac:dyDescent="0.2">
      <c r="A66" s="64">
        <v>66</v>
      </c>
      <c r="B66" s="8" t="s">
        <v>200</v>
      </c>
      <c r="C66" s="11" t="s">
        <v>109</v>
      </c>
      <c r="D66" s="8" t="str">
        <f t="shared" si="0"/>
        <v>Prefeitura Municipal de Matias Barbosa</v>
      </c>
      <c r="E66" s="9" t="s">
        <v>115</v>
      </c>
      <c r="F66" s="16" t="s">
        <v>274</v>
      </c>
      <c r="G66" s="8" t="s">
        <v>139</v>
      </c>
      <c r="H66" s="11" t="s">
        <v>26</v>
      </c>
      <c r="I66" s="11" t="s">
        <v>122</v>
      </c>
      <c r="J66" s="8" t="s">
        <v>21</v>
      </c>
      <c r="K66" s="42" t="s">
        <v>371</v>
      </c>
      <c r="L66" s="16">
        <v>44809</v>
      </c>
      <c r="M66" s="16">
        <v>46269</v>
      </c>
      <c r="N66" s="24">
        <v>450000</v>
      </c>
      <c r="O66"/>
      <c r="P66" s="51">
        <v>66</v>
      </c>
    </row>
    <row r="67" spans="1:18" ht="35.1" customHeight="1" x14ac:dyDescent="0.2">
      <c r="A67" s="64">
        <v>67</v>
      </c>
      <c r="B67" s="8" t="s">
        <v>270</v>
      </c>
      <c r="C67" s="11" t="s">
        <v>109</v>
      </c>
      <c r="D67" s="8" t="str">
        <f t="shared" si="0"/>
        <v>Prefeitura Municipal de Bocâina de Minas</v>
      </c>
      <c r="E67" s="9" t="s">
        <v>115</v>
      </c>
      <c r="F67" s="16" t="s">
        <v>323</v>
      </c>
      <c r="G67" s="8" t="s">
        <v>139</v>
      </c>
      <c r="H67" s="11" t="s">
        <v>26</v>
      </c>
      <c r="I67" s="11" t="s">
        <v>122</v>
      </c>
      <c r="J67" s="8" t="s">
        <v>21</v>
      </c>
      <c r="K67" s="42" t="s">
        <v>371</v>
      </c>
      <c r="L67" s="16">
        <v>44711</v>
      </c>
      <c r="M67" s="16">
        <v>46171</v>
      </c>
      <c r="N67" s="24">
        <v>84960</v>
      </c>
      <c r="O67"/>
      <c r="P67" s="51">
        <v>67</v>
      </c>
    </row>
    <row r="68" spans="1:18" ht="35.1" customHeight="1" x14ac:dyDescent="0.2">
      <c r="A68" s="64">
        <v>68</v>
      </c>
      <c r="B68" s="8" t="s">
        <v>198</v>
      </c>
      <c r="C68" s="11" t="s">
        <v>109</v>
      </c>
      <c r="D68" s="8" t="str">
        <f t="shared" si="0"/>
        <v>Prefeitura Municipal de Ewbank da Câmara</v>
      </c>
      <c r="E68" s="9" t="s">
        <v>115</v>
      </c>
      <c r="F68" s="16" t="s">
        <v>366</v>
      </c>
      <c r="G68" s="8" t="s">
        <v>139</v>
      </c>
      <c r="H68" s="11" t="s">
        <v>26</v>
      </c>
      <c r="I68" s="11" t="s">
        <v>122</v>
      </c>
      <c r="J68" s="8" t="s">
        <v>133</v>
      </c>
      <c r="K68" s="15" t="s">
        <v>70</v>
      </c>
      <c r="L68" s="16">
        <v>45849</v>
      </c>
      <c r="M68" s="16">
        <v>46213</v>
      </c>
      <c r="N68" s="24">
        <v>348000</v>
      </c>
      <c r="O68" s="67"/>
      <c r="P68" s="51">
        <v>68</v>
      </c>
      <c r="Q68" s="3"/>
      <c r="R68" s="2"/>
    </row>
    <row r="69" spans="1:18" ht="35.1" customHeight="1" x14ac:dyDescent="0.2">
      <c r="A69" s="64">
        <v>69</v>
      </c>
      <c r="B69" s="8" t="s">
        <v>193</v>
      </c>
      <c r="C69" s="11" t="s">
        <v>109</v>
      </c>
      <c r="D69" s="8" t="str">
        <f t="shared" si="0"/>
        <v>Prefeitura Municipal de Antônio Carlos</v>
      </c>
      <c r="E69" s="9" t="s">
        <v>115</v>
      </c>
      <c r="F69" s="16" t="s">
        <v>367</v>
      </c>
      <c r="G69" s="8" t="s">
        <v>139</v>
      </c>
      <c r="H69" s="11" t="s">
        <v>26</v>
      </c>
      <c r="I69" s="11" t="s">
        <v>122</v>
      </c>
      <c r="J69" s="8" t="s">
        <v>133</v>
      </c>
      <c r="K69" s="15" t="s">
        <v>70</v>
      </c>
      <c r="L69" s="16">
        <v>45939</v>
      </c>
      <c r="M69" s="16">
        <v>46303</v>
      </c>
      <c r="N69" s="34">
        <v>327612</v>
      </c>
      <c r="O69" s="67"/>
      <c r="P69" s="53">
        <v>69</v>
      </c>
      <c r="Q69" s="3"/>
      <c r="R69" s="2"/>
    </row>
    <row r="70" spans="1:18" ht="35.1" customHeight="1" x14ac:dyDescent="0.2">
      <c r="A70" s="64">
        <v>70</v>
      </c>
      <c r="B70" s="8" t="s">
        <v>195</v>
      </c>
      <c r="C70" s="11" t="s">
        <v>109</v>
      </c>
      <c r="D70" s="8" t="str">
        <f t="shared" si="0"/>
        <v>Prefeitura Municipal de Bias Fortes</v>
      </c>
      <c r="E70" s="9" t="s">
        <v>115</v>
      </c>
      <c r="F70" s="16" t="s">
        <v>272</v>
      </c>
      <c r="G70" s="8" t="s">
        <v>139</v>
      </c>
      <c r="H70" s="11" t="s">
        <v>26</v>
      </c>
      <c r="I70" s="11" t="s">
        <v>122</v>
      </c>
      <c r="J70" s="8" t="s">
        <v>21</v>
      </c>
      <c r="K70" s="42" t="s">
        <v>371</v>
      </c>
      <c r="L70" s="16">
        <v>44620</v>
      </c>
      <c r="M70" s="16">
        <v>46083</v>
      </c>
      <c r="N70" s="24">
        <v>108000</v>
      </c>
      <c r="O70" s="66"/>
      <c r="P70" s="51">
        <v>70</v>
      </c>
      <c r="Q70" s="3"/>
      <c r="R70" s="2"/>
    </row>
    <row r="71" spans="1:18" ht="35.1" customHeight="1" x14ac:dyDescent="0.2">
      <c r="A71" s="64">
        <v>71</v>
      </c>
      <c r="B71" s="8" t="s">
        <v>199</v>
      </c>
      <c r="C71" s="11" t="s">
        <v>109</v>
      </c>
      <c r="D71" s="8" t="str">
        <f t="shared" si="0"/>
        <v>Prefeitura Municipal de Liberdade</v>
      </c>
      <c r="E71" s="9" t="s">
        <v>115</v>
      </c>
      <c r="F71" s="16" t="s">
        <v>273</v>
      </c>
      <c r="G71" s="8" t="s">
        <v>139</v>
      </c>
      <c r="H71" s="11" t="s">
        <v>26</v>
      </c>
      <c r="I71" s="11" t="s">
        <v>122</v>
      </c>
      <c r="J71" s="8" t="s">
        <v>21</v>
      </c>
      <c r="K71" s="42" t="s">
        <v>370</v>
      </c>
      <c r="L71" s="16">
        <v>44599</v>
      </c>
      <c r="M71" s="16">
        <v>46056</v>
      </c>
      <c r="N71" s="34">
        <v>86400</v>
      </c>
      <c r="O71" s="67"/>
      <c r="P71" s="53">
        <v>71</v>
      </c>
      <c r="Q71" s="3"/>
      <c r="R71" s="2"/>
    </row>
    <row r="72" spans="1:18" ht="35.1" customHeight="1" x14ac:dyDescent="0.2">
      <c r="A72" s="64">
        <v>72</v>
      </c>
      <c r="B72" s="8" t="s">
        <v>194</v>
      </c>
      <c r="C72" s="11" t="s">
        <v>109</v>
      </c>
      <c r="D72" s="8" t="str">
        <f t="shared" si="0"/>
        <v>Prefeitura Municipal de Belmiro Braga</v>
      </c>
      <c r="E72" s="9" t="s">
        <v>115</v>
      </c>
      <c r="F72" s="16" t="s">
        <v>271</v>
      </c>
      <c r="G72" s="8" t="s">
        <v>139</v>
      </c>
      <c r="H72" s="11" t="s">
        <v>26</v>
      </c>
      <c r="I72" s="11" t="s">
        <v>122</v>
      </c>
      <c r="J72" s="8" t="s">
        <v>21</v>
      </c>
      <c r="K72" s="42" t="s">
        <v>369</v>
      </c>
      <c r="L72" s="16">
        <v>45089</v>
      </c>
      <c r="M72" s="16">
        <v>46022</v>
      </c>
      <c r="N72" s="34">
        <v>83400</v>
      </c>
      <c r="O72" s="27"/>
      <c r="P72" s="53">
        <v>72</v>
      </c>
    </row>
    <row r="73" spans="1:18" ht="35.1" customHeight="1" x14ac:dyDescent="0.2">
      <c r="A73" s="64">
        <v>73</v>
      </c>
      <c r="B73" s="8" t="s">
        <v>197</v>
      </c>
      <c r="C73" s="11" t="s">
        <v>109</v>
      </c>
      <c r="D73" s="8" t="str">
        <f t="shared" si="0"/>
        <v>Prefeitura Municipal de Desterro do Melo</v>
      </c>
      <c r="E73" s="9" t="s">
        <v>115</v>
      </c>
      <c r="F73" s="16" t="s">
        <v>322</v>
      </c>
      <c r="G73" s="8" t="s">
        <v>139</v>
      </c>
      <c r="H73" s="11" t="s">
        <v>26</v>
      </c>
      <c r="I73" s="11" t="s">
        <v>122</v>
      </c>
      <c r="J73" s="8" t="s">
        <v>21</v>
      </c>
      <c r="K73" s="42" t="s">
        <v>369</v>
      </c>
      <c r="L73" s="16">
        <v>45278</v>
      </c>
      <c r="M73" s="16">
        <v>46387</v>
      </c>
      <c r="N73" s="34">
        <v>74500</v>
      </c>
      <c r="O73" s="27"/>
      <c r="P73" s="53">
        <v>73</v>
      </c>
    </row>
    <row r="74" spans="1:18" ht="35.1" customHeight="1" x14ac:dyDescent="0.2">
      <c r="A74" s="64">
        <v>74</v>
      </c>
      <c r="B74" s="8" t="s">
        <v>202</v>
      </c>
      <c r="C74" s="11" t="s">
        <v>109</v>
      </c>
      <c r="D74" s="8" t="str">
        <f t="shared" si="0"/>
        <v>Prefeitura Municipal de Pedro Teixeira</v>
      </c>
      <c r="E74" s="9" t="s">
        <v>115</v>
      </c>
      <c r="F74" s="16" t="s">
        <v>276</v>
      </c>
      <c r="G74" s="8" t="s">
        <v>139</v>
      </c>
      <c r="H74" s="11" t="s">
        <v>26</v>
      </c>
      <c r="I74" s="11" t="s">
        <v>122</v>
      </c>
      <c r="J74" s="8" t="s">
        <v>21</v>
      </c>
      <c r="K74" s="42" t="s">
        <v>370</v>
      </c>
      <c r="L74" s="16">
        <v>44372</v>
      </c>
      <c r="M74" s="16">
        <v>46022</v>
      </c>
      <c r="N74" s="34">
        <v>55000</v>
      </c>
      <c r="O74" s="24"/>
      <c r="P74" s="53">
        <v>74</v>
      </c>
    </row>
    <row r="75" spans="1:18" ht="60" customHeight="1" x14ac:dyDescent="0.2">
      <c r="A75"/>
      <c r="B75" s="8" t="s">
        <v>354</v>
      </c>
      <c r="C75" s="11" t="s">
        <v>109</v>
      </c>
      <c r="D75" s="8" t="s">
        <v>354</v>
      </c>
      <c r="E75" s="9" t="s">
        <v>357</v>
      </c>
      <c r="F75" s="16" t="s">
        <v>312</v>
      </c>
      <c r="G75" s="8" t="s">
        <v>139</v>
      </c>
      <c r="H75" s="11" t="s">
        <v>25</v>
      </c>
      <c r="I75" s="11" t="s">
        <v>319</v>
      </c>
      <c r="J75" s="8" t="s">
        <v>21</v>
      </c>
      <c r="K75" s="8" t="s">
        <v>70</v>
      </c>
      <c r="L75" s="16">
        <v>44566</v>
      </c>
      <c r="M75" s="16">
        <v>46022</v>
      </c>
      <c r="N75" s="34">
        <v>5400000</v>
      </c>
      <c r="O75" s="27"/>
      <c r="P75" s="53"/>
    </row>
    <row r="76" spans="1:18" ht="35.1" customHeight="1" x14ac:dyDescent="0.2">
      <c r="A76" s="64">
        <v>76</v>
      </c>
      <c r="B76" s="8" t="s">
        <v>253</v>
      </c>
      <c r="C76" s="11" t="s">
        <v>109</v>
      </c>
      <c r="D76" s="8" t="str">
        <f t="shared" ref="D76:D108" si="1">_xlfn.CONCAT("Prefeitura Municipal de ",B76)</f>
        <v>Prefeitura Municipal de Timóteo</v>
      </c>
      <c r="E76" s="9" t="s">
        <v>357</v>
      </c>
      <c r="F76" s="16" t="s">
        <v>268</v>
      </c>
      <c r="G76" s="8" t="s">
        <v>139</v>
      </c>
      <c r="H76" s="11" t="s">
        <v>26</v>
      </c>
      <c r="I76" s="11" t="s">
        <v>319</v>
      </c>
      <c r="J76" s="8" t="s">
        <v>133</v>
      </c>
      <c r="K76" s="42" t="s">
        <v>368</v>
      </c>
      <c r="L76" s="16">
        <v>45498</v>
      </c>
      <c r="M76" s="16">
        <v>46227</v>
      </c>
      <c r="N76" s="34">
        <v>2110200</v>
      </c>
      <c r="O76" s="27"/>
      <c r="P76" s="53">
        <v>76</v>
      </c>
    </row>
    <row r="77" spans="1:18" ht="35.1" customHeight="1" x14ac:dyDescent="0.2">
      <c r="A77" s="64">
        <v>77</v>
      </c>
      <c r="B77" s="8" t="s">
        <v>225</v>
      </c>
      <c r="C77" s="11" t="s">
        <v>109</v>
      </c>
      <c r="D77" s="8" t="str">
        <f t="shared" si="1"/>
        <v>Prefeitura Municipal de Coronel Fabriciano</v>
      </c>
      <c r="E77" s="9" t="s">
        <v>357</v>
      </c>
      <c r="F77" s="16" t="s">
        <v>301</v>
      </c>
      <c r="G77" s="8" t="s">
        <v>139</v>
      </c>
      <c r="H77" s="11" t="s">
        <v>26</v>
      </c>
      <c r="I77" s="11" t="s">
        <v>319</v>
      </c>
      <c r="J77" s="8" t="s">
        <v>21</v>
      </c>
      <c r="K77" s="42" t="s">
        <v>370</v>
      </c>
      <c r="L77" s="16">
        <v>44076</v>
      </c>
      <c r="M77" s="16">
        <v>46088</v>
      </c>
      <c r="N77" s="34">
        <v>1788380</v>
      </c>
      <c r="O77" s="27"/>
      <c r="P77" s="53">
        <v>77</v>
      </c>
    </row>
    <row r="78" spans="1:18" ht="35.1" customHeight="1" x14ac:dyDescent="0.2">
      <c r="A78" s="64">
        <v>78</v>
      </c>
      <c r="B78" s="8" t="s">
        <v>221</v>
      </c>
      <c r="C78" s="11" t="s">
        <v>109</v>
      </c>
      <c r="D78" s="8" t="str">
        <f t="shared" si="1"/>
        <v>Prefeitura Municipal de Belo Oriente</v>
      </c>
      <c r="E78" s="9" t="s">
        <v>357</v>
      </c>
      <c r="F78" s="16" t="s">
        <v>344</v>
      </c>
      <c r="G78" s="8" t="s">
        <v>139</v>
      </c>
      <c r="H78" s="11" t="s">
        <v>26</v>
      </c>
      <c r="I78" s="11" t="s">
        <v>122</v>
      </c>
      <c r="J78" s="8" t="s">
        <v>133</v>
      </c>
      <c r="K78" s="8" t="s">
        <v>70</v>
      </c>
      <c r="L78" s="16">
        <v>45875</v>
      </c>
      <c r="M78" s="16">
        <v>46239</v>
      </c>
      <c r="N78" s="34">
        <v>764060</v>
      </c>
      <c r="O78" s="27"/>
      <c r="P78" s="53">
        <v>78</v>
      </c>
    </row>
    <row r="79" spans="1:18" ht="35.1" customHeight="1" x14ac:dyDescent="0.2">
      <c r="A79" s="64">
        <v>79</v>
      </c>
      <c r="B79" s="8" t="s">
        <v>250</v>
      </c>
      <c r="C79" s="11" t="s">
        <v>109</v>
      </c>
      <c r="D79" s="8" t="str">
        <f t="shared" si="1"/>
        <v>Prefeitura Municipal de Inhapim</v>
      </c>
      <c r="E79" s="9" t="s">
        <v>357</v>
      </c>
      <c r="F79" s="16" t="s">
        <v>265</v>
      </c>
      <c r="G79" s="8" t="s">
        <v>139</v>
      </c>
      <c r="H79" s="11" t="s">
        <v>26</v>
      </c>
      <c r="I79" s="11" t="s">
        <v>122</v>
      </c>
      <c r="J79" s="8" t="s">
        <v>21</v>
      </c>
      <c r="K79" s="42" t="s">
        <v>370</v>
      </c>
      <c r="L79" s="16">
        <v>44217</v>
      </c>
      <c r="M79" s="16">
        <v>46022</v>
      </c>
      <c r="N79" s="34">
        <v>630000</v>
      </c>
      <c r="O79" s="27"/>
      <c r="P79" s="53">
        <v>79</v>
      </c>
    </row>
    <row r="80" spans="1:18" ht="35.1" customHeight="1" x14ac:dyDescent="0.2">
      <c r="A80" s="64">
        <v>80</v>
      </c>
      <c r="B80" s="8" t="s">
        <v>247</v>
      </c>
      <c r="C80" s="11" t="s">
        <v>109</v>
      </c>
      <c r="D80" s="8" t="str">
        <f t="shared" si="1"/>
        <v>Prefeitura Municipal de Piedade De Caratinga</v>
      </c>
      <c r="E80" s="9" t="s">
        <v>357</v>
      </c>
      <c r="F80" s="16" t="s">
        <v>352</v>
      </c>
      <c r="G80" s="8" t="s">
        <v>139</v>
      </c>
      <c r="H80" s="11" t="s">
        <v>26</v>
      </c>
      <c r="I80" s="9" t="s">
        <v>122</v>
      </c>
      <c r="J80" s="8" t="s">
        <v>133</v>
      </c>
      <c r="K80" s="8" t="s">
        <v>70</v>
      </c>
      <c r="L80" s="16" t="s">
        <v>353</v>
      </c>
      <c r="M80" s="16" t="s">
        <v>372</v>
      </c>
      <c r="N80" s="33">
        <v>464400</v>
      </c>
      <c r="O80" s="27"/>
      <c r="P80" s="58">
        <v>80</v>
      </c>
    </row>
    <row r="81" spans="1:16" ht="35.1" customHeight="1" x14ac:dyDescent="0.2">
      <c r="A81" s="64">
        <v>81</v>
      </c>
      <c r="B81" s="8" t="s">
        <v>231</v>
      </c>
      <c r="C81" s="11" t="s">
        <v>109</v>
      </c>
      <c r="D81" s="8" t="str">
        <f t="shared" si="1"/>
        <v>Prefeitura Municipal de Ipaba</v>
      </c>
      <c r="E81" s="9" t="s">
        <v>357</v>
      </c>
      <c r="F81" s="16" t="s">
        <v>303</v>
      </c>
      <c r="G81" s="8" t="s">
        <v>139</v>
      </c>
      <c r="H81" s="11" t="s">
        <v>26</v>
      </c>
      <c r="I81" s="11" t="s">
        <v>122</v>
      </c>
      <c r="J81" s="8" t="s">
        <v>21</v>
      </c>
      <c r="K81" s="42" t="s">
        <v>369</v>
      </c>
      <c r="L81" s="16">
        <v>45191</v>
      </c>
      <c r="M81" s="16">
        <v>46275</v>
      </c>
      <c r="N81" s="34">
        <v>450000</v>
      </c>
      <c r="O81" s="27"/>
      <c r="P81" s="53">
        <v>81</v>
      </c>
    </row>
    <row r="82" spans="1:16" ht="35.1" customHeight="1" x14ac:dyDescent="0.2">
      <c r="A82" s="64">
        <v>82</v>
      </c>
      <c r="B82" s="8" t="s">
        <v>223</v>
      </c>
      <c r="C82" s="11" t="s">
        <v>109</v>
      </c>
      <c r="D82" s="8" t="str">
        <f t="shared" si="1"/>
        <v>Prefeitura Municipal de Antonio Dias</v>
      </c>
      <c r="E82" s="9" t="s">
        <v>357</v>
      </c>
      <c r="F82" s="16" t="s">
        <v>313</v>
      </c>
      <c r="G82" s="8" t="s">
        <v>139</v>
      </c>
      <c r="H82" s="11" t="s">
        <v>26</v>
      </c>
      <c r="I82" s="11" t="s">
        <v>319</v>
      </c>
      <c r="J82" s="8" t="s">
        <v>21</v>
      </c>
      <c r="K82" s="42" t="s">
        <v>369</v>
      </c>
      <c r="L82" s="16">
        <v>45261</v>
      </c>
      <c r="M82" s="16">
        <v>46357</v>
      </c>
      <c r="N82" s="34">
        <v>399000</v>
      </c>
      <c r="O82"/>
      <c r="P82" s="53">
        <v>82</v>
      </c>
    </row>
    <row r="83" spans="1:16" ht="35.1" customHeight="1" x14ac:dyDescent="0.2">
      <c r="A83"/>
      <c r="B83" s="8" t="s">
        <v>245</v>
      </c>
      <c r="C83" s="11" t="s">
        <v>109</v>
      </c>
      <c r="D83" s="8" t="str">
        <f t="shared" si="1"/>
        <v>Prefeitura Municipal de Sobralia</v>
      </c>
      <c r="E83" s="9" t="s">
        <v>255</v>
      </c>
      <c r="F83" s="16" t="s">
        <v>263</v>
      </c>
      <c r="G83" s="8" t="s">
        <v>139</v>
      </c>
      <c r="H83" s="30" t="s">
        <v>25</v>
      </c>
      <c r="I83" s="11" t="s">
        <v>122</v>
      </c>
      <c r="J83" s="8" t="s">
        <v>21</v>
      </c>
      <c r="K83" s="8" t="s">
        <v>70</v>
      </c>
      <c r="L83" s="16">
        <v>44860</v>
      </c>
      <c r="M83" s="16">
        <v>45957</v>
      </c>
      <c r="N83" s="24">
        <v>541209.59999999998</v>
      </c>
      <c r="O83" s="27"/>
      <c r="P83" s="51"/>
    </row>
    <row r="84" spans="1:16" ht="35.1" customHeight="1" x14ac:dyDescent="0.2">
      <c r="A84" s="64">
        <v>84</v>
      </c>
      <c r="B84" s="8" t="s">
        <v>251</v>
      </c>
      <c r="C84" s="11" t="s">
        <v>109</v>
      </c>
      <c r="D84" s="8" t="str">
        <f t="shared" si="1"/>
        <v>Prefeitura Municipal de Itanhomi</v>
      </c>
      <c r="E84" s="9" t="s">
        <v>357</v>
      </c>
      <c r="F84" s="16" t="s">
        <v>266</v>
      </c>
      <c r="G84" s="8" t="s">
        <v>139</v>
      </c>
      <c r="H84" s="11" t="s">
        <v>26</v>
      </c>
      <c r="I84" s="11" t="s">
        <v>122</v>
      </c>
      <c r="J84" s="8" t="s">
        <v>21</v>
      </c>
      <c r="K84" s="42" t="s">
        <v>371</v>
      </c>
      <c r="L84" s="16">
        <v>44860</v>
      </c>
      <c r="M84" s="16">
        <v>46322</v>
      </c>
      <c r="N84" s="34">
        <v>362538</v>
      </c>
      <c r="O84" s="27"/>
      <c r="P84" s="53">
        <v>84</v>
      </c>
    </row>
    <row r="85" spans="1:16" ht="35.1" customHeight="1" x14ac:dyDescent="0.2">
      <c r="A85" s="64">
        <v>85</v>
      </c>
      <c r="B85" s="8" t="s">
        <v>246</v>
      </c>
      <c r="C85" s="11" t="s">
        <v>109</v>
      </c>
      <c r="D85" s="8" t="str">
        <f t="shared" si="1"/>
        <v>Prefeitura Municipal de Virginopolis</v>
      </c>
      <c r="E85" s="9" t="s">
        <v>357</v>
      </c>
      <c r="F85" s="16" t="s">
        <v>347</v>
      </c>
      <c r="G85" s="8" t="s">
        <v>139</v>
      </c>
      <c r="H85" s="11" t="s">
        <v>26</v>
      </c>
      <c r="I85" s="11" t="s">
        <v>122</v>
      </c>
      <c r="J85" s="8" t="s">
        <v>133</v>
      </c>
      <c r="K85" s="8" t="s">
        <v>70</v>
      </c>
      <c r="L85" s="16">
        <v>45861</v>
      </c>
      <c r="M85" s="16">
        <v>46225</v>
      </c>
      <c r="N85" s="34">
        <v>320320</v>
      </c>
      <c r="O85"/>
      <c r="P85" s="53">
        <v>85</v>
      </c>
    </row>
    <row r="86" spans="1:16" ht="35.1" customHeight="1" x14ac:dyDescent="0.2">
      <c r="A86" s="64">
        <v>86</v>
      </c>
      <c r="B86" s="8" t="s">
        <v>300</v>
      </c>
      <c r="C86" s="11" t="s">
        <v>109</v>
      </c>
      <c r="D86" s="8" t="str">
        <f t="shared" si="1"/>
        <v>Prefeitura Municipal de Iapú</v>
      </c>
      <c r="E86" s="9" t="s">
        <v>357</v>
      </c>
      <c r="F86" s="16" t="s">
        <v>306</v>
      </c>
      <c r="G86" s="8" t="s">
        <v>139</v>
      </c>
      <c r="H86" s="11" t="s">
        <v>26</v>
      </c>
      <c r="I86" s="11" t="s">
        <v>122</v>
      </c>
      <c r="J86" s="8" t="s">
        <v>21</v>
      </c>
      <c r="K86" s="42" t="s">
        <v>370</v>
      </c>
      <c r="L86" s="16">
        <v>44320</v>
      </c>
      <c r="M86" s="16">
        <v>46145</v>
      </c>
      <c r="N86" s="34">
        <v>256150</v>
      </c>
      <c r="O86" s="27"/>
      <c r="P86" s="53">
        <v>86</v>
      </c>
    </row>
    <row r="87" spans="1:16" ht="35.1" customHeight="1" x14ac:dyDescent="0.2">
      <c r="A87" s="64">
        <v>87</v>
      </c>
      <c r="B87" s="8" t="s">
        <v>248</v>
      </c>
      <c r="C87" s="11" t="s">
        <v>109</v>
      </c>
      <c r="D87" s="8" t="str">
        <f t="shared" si="1"/>
        <v>Prefeitura Municipal de Açucena</v>
      </c>
      <c r="E87" s="9" t="s">
        <v>357</v>
      </c>
      <c r="F87" s="16" t="s">
        <v>261</v>
      </c>
      <c r="G87" s="8" t="s">
        <v>139</v>
      </c>
      <c r="H87" s="11" t="s">
        <v>26</v>
      </c>
      <c r="I87" s="11" t="s">
        <v>122</v>
      </c>
      <c r="J87" s="8" t="s">
        <v>21</v>
      </c>
      <c r="K87" s="42" t="s">
        <v>369</v>
      </c>
      <c r="L87" s="16">
        <v>44950</v>
      </c>
      <c r="M87" s="16">
        <v>46022</v>
      </c>
      <c r="N87" s="34">
        <v>210341</v>
      </c>
      <c r="O87"/>
      <c r="P87" s="53">
        <v>87</v>
      </c>
    </row>
    <row r="88" spans="1:16" ht="35.1" customHeight="1" x14ac:dyDescent="0.2">
      <c r="A88" s="64">
        <v>88</v>
      </c>
      <c r="B88" s="8" t="s">
        <v>238</v>
      </c>
      <c r="C88" s="11" t="s">
        <v>109</v>
      </c>
      <c r="D88" s="8" t="str">
        <f t="shared" si="1"/>
        <v>Prefeitura Municipal de Naque</v>
      </c>
      <c r="E88" s="9" t="s">
        <v>357</v>
      </c>
      <c r="F88" s="16" t="s">
        <v>339</v>
      </c>
      <c r="G88" s="8" t="s">
        <v>139</v>
      </c>
      <c r="H88" s="11" t="s">
        <v>26</v>
      </c>
      <c r="I88" s="11" t="s">
        <v>122</v>
      </c>
      <c r="J88" s="8" t="s">
        <v>133</v>
      </c>
      <c r="K88" s="8" t="s">
        <v>70</v>
      </c>
      <c r="L88" s="16">
        <v>45910</v>
      </c>
      <c r="M88" s="16">
        <v>46275</v>
      </c>
      <c r="N88" s="24">
        <v>196300</v>
      </c>
      <c r="O88" s="27"/>
      <c r="P88" s="51">
        <v>88</v>
      </c>
    </row>
    <row r="89" spans="1:16" ht="35.1" customHeight="1" x14ac:dyDescent="0.2">
      <c r="A89" s="64">
        <v>89</v>
      </c>
      <c r="B89" s="8" t="s">
        <v>234</v>
      </c>
      <c r="C89" s="11" t="s">
        <v>109</v>
      </c>
      <c r="D89" s="8" t="str">
        <f t="shared" si="1"/>
        <v>Prefeitura Municipal de Joanesia</v>
      </c>
      <c r="E89" s="9" t="s">
        <v>357</v>
      </c>
      <c r="F89" s="16" t="s">
        <v>349</v>
      </c>
      <c r="G89" s="8" t="s">
        <v>139</v>
      </c>
      <c r="H89" s="11" t="s">
        <v>26</v>
      </c>
      <c r="I89" s="9" t="s">
        <v>122</v>
      </c>
      <c r="J89" s="8" t="s">
        <v>133</v>
      </c>
      <c r="K89" s="42" t="s">
        <v>368</v>
      </c>
      <c r="L89" s="16">
        <v>45635</v>
      </c>
      <c r="M89" s="16">
        <v>46387</v>
      </c>
      <c r="N89" s="33">
        <v>187220.65</v>
      </c>
      <c r="O89"/>
      <c r="P89" s="58">
        <v>89</v>
      </c>
    </row>
    <row r="90" spans="1:16" ht="35.1" customHeight="1" x14ac:dyDescent="0.2">
      <c r="A90" s="43">
        <v>90</v>
      </c>
      <c r="B90" s="8" t="s">
        <v>244</v>
      </c>
      <c r="C90" s="11" t="s">
        <v>109</v>
      </c>
      <c r="D90" s="8" t="str">
        <f t="shared" si="1"/>
        <v>Prefeitura Municipal de São Sebastião Do Anta</v>
      </c>
      <c r="E90" s="9" t="s">
        <v>357</v>
      </c>
      <c r="F90" s="16" t="s">
        <v>305</v>
      </c>
      <c r="G90" s="8" t="s">
        <v>139</v>
      </c>
      <c r="H90" s="11" t="s">
        <v>25</v>
      </c>
      <c r="I90" s="11" t="s">
        <v>122</v>
      </c>
      <c r="J90" s="8" t="s">
        <v>21</v>
      </c>
      <c r="K90" s="8" t="s">
        <v>70</v>
      </c>
      <c r="L90" s="16">
        <v>44232</v>
      </c>
      <c r="M90" s="16">
        <v>46022</v>
      </c>
      <c r="N90" s="34">
        <v>180000</v>
      </c>
      <c r="O90" s="27"/>
      <c r="P90" s="53">
        <v>90</v>
      </c>
    </row>
    <row r="91" spans="1:16" ht="35.1" customHeight="1" x14ac:dyDescent="0.2">
      <c r="A91" s="64">
        <v>91</v>
      </c>
      <c r="B91" s="8" t="s">
        <v>243</v>
      </c>
      <c r="C91" s="11" t="s">
        <v>109</v>
      </c>
      <c r="D91" s="8" t="str">
        <f t="shared" si="1"/>
        <v>Prefeitura Municipal de São José Do Jacuri</v>
      </c>
      <c r="E91" s="9" t="s">
        <v>357</v>
      </c>
      <c r="F91" s="16" t="s">
        <v>351</v>
      </c>
      <c r="G91" s="8" t="s">
        <v>139</v>
      </c>
      <c r="H91" s="11" t="s">
        <v>26</v>
      </c>
      <c r="I91" s="9" t="s">
        <v>122</v>
      </c>
      <c r="J91" s="8" t="s">
        <v>133</v>
      </c>
      <c r="K91" s="8" t="s">
        <v>70</v>
      </c>
      <c r="L91" s="16">
        <v>45678</v>
      </c>
      <c r="M91" s="16">
        <v>46043</v>
      </c>
      <c r="N91" s="33">
        <v>151200</v>
      </c>
      <c r="O91" s="27"/>
      <c r="P91" s="58">
        <v>91</v>
      </c>
    </row>
    <row r="92" spans="1:16" ht="35.1" customHeight="1" x14ac:dyDescent="0.2">
      <c r="A92" s="64">
        <v>92</v>
      </c>
      <c r="B92" s="8" t="s">
        <v>295</v>
      </c>
      <c r="C92" s="11" t="s">
        <v>109</v>
      </c>
      <c r="D92" s="8" t="str">
        <f t="shared" si="1"/>
        <v xml:space="preserve">Prefeitura Municipal de Marliéria </v>
      </c>
      <c r="E92" s="9" t="s">
        <v>357</v>
      </c>
      <c r="F92" s="16" t="s">
        <v>304</v>
      </c>
      <c r="G92" s="8" t="s">
        <v>139</v>
      </c>
      <c r="H92" s="11" t="s">
        <v>26</v>
      </c>
      <c r="I92" s="11" t="s">
        <v>122</v>
      </c>
      <c r="J92" s="8" t="s">
        <v>21</v>
      </c>
      <c r="K92" s="42" t="s">
        <v>369</v>
      </c>
      <c r="L92" s="16">
        <v>45281</v>
      </c>
      <c r="M92" s="16">
        <v>46376</v>
      </c>
      <c r="N92" s="34">
        <v>105200</v>
      </c>
      <c r="O92" s="24"/>
      <c r="P92" s="53">
        <v>92</v>
      </c>
    </row>
    <row r="93" spans="1:16" ht="35.1" customHeight="1" x14ac:dyDescent="0.2">
      <c r="A93" s="64">
        <v>93</v>
      </c>
      <c r="B93" s="8" t="s">
        <v>233</v>
      </c>
      <c r="C93" s="11" t="s">
        <v>109</v>
      </c>
      <c r="D93" s="8" t="str">
        <f t="shared" si="1"/>
        <v>Prefeitura Municipal de Jaguaracu</v>
      </c>
      <c r="E93" s="9" t="s">
        <v>357</v>
      </c>
      <c r="F93" s="16" t="s">
        <v>346</v>
      </c>
      <c r="G93" s="8" t="s">
        <v>139</v>
      </c>
      <c r="H93" s="11" t="s">
        <v>26</v>
      </c>
      <c r="I93" s="11" t="s">
        <v>122</v>
      </c>
      <c r="J93" s="8" t="s">
        <v>133</v>
      </c>
      <c r="K93" s="8" t="s">
        <v>70</v>
      </c>
      <c r="L93" s="16">
        <v>45870</v>
      </c>
      <c r="M93" s="16">
        <v>46233</v>
      </c>
      <c r="N93" s="34">
        <v>86166</v>
      </c>
      <c r="O93" s="24"/>
      <c r="P93" s="53">
        <v>93</v>
      </c>
    </row>
    <row r="94" spans="1:16" ht="35.1" customHeight="1" x14ac:dyDescent="0.2">
      <c r="A94" s="64">
        <v>94</v>
      </c>
      <c r="B94" s="8" t="s">
        <v>296</v>
      </c>
      <c r="C94" s="11" t="s">
        <v>109</v>
      </c>
      <c r="D94" s="8" t="str">
        <f t="shared" si="1"/>
        <v>Prefeitura Municipal de Braúnas</v>
      </c>
      <c r="E94" s="9" t="s">
        <v>357</v>
      </c>
      <c r="F94" s="16" t="s">
        <v>309</v>
      </c>
      <c r="G94" s="8" t="s">
        <v>139</v>
      </c>
      <c r="H94" s="11" t="s">
        <v>26</v>
      </c>
      <c r="I94" s="11" t="s">
        <v>122</v>
      </c>
      <c r="J94" s="8" t="s">
        <v>21</v>
      </c>
      <c r="K94" s="42" t="s">
        <v>371</v>
      </c>
      <c r="L94" s="16">
        <v>44809</v>
      </c>
      <c r="M94" s="16">
        <v>46268</v>
      </c>
      <c r="N94" s="34">
        <v>79800</v>
      </c>
      <c r="O94" s="24"/>
      <c r="P94" s="53">
        <v>94</v>
      </c>
    </row>
    <row r="95" spans="1:16" ht="35.1" customHeight="1" x14ac:dyDescent="0.2">
      <c r="A95" s="64">
        <v>95</v>
      </c>
      <c r="B95" s="8" t="s">
        <v>299</v>
      </c>
      <c r="C95" s="11" t="s">
        <v>109</v>
      </c>
      <c r="D95" s="8" t="str">
        <f t="shared" si="1"/>
        <v xml:space="preserve">Prefeitura Municipal de Mesquita </v>
      </c>
      <c r="E95" s="9" t="s">
        <v>357</v>
      </c>
      <c r="F95" s="16" t="s">
        <v>307</v>
      </c>
      <c r="G95" s="8" t="s">
        <v>139</v>
      </c>
      <c r="H95" s="11" t="s">
        <v>26</v>
      </c>
      <c r="I95" s="11" t="s">
        <v>122</v>
      </c>
      <c r="J95" s="8" t="s">
        <v>21</v>
      </c>
      <c r="K95" s="42" t="s">
        <v>371</v>
      </c>
      <c r="L95" s="16">
        <v>44690</v>
      </c>
      <c r="M95" s="16">
        <v>46150</v>
      </c>
      <c r="N95" s="34">
        <v>71820</v>
      </c>
      <c r="O95"/>
      <c r="P95" s="53">
        <v>95</v>
      </c>
    </row>
    <row r="96" spans="1:16" ht="35.1" customHeight="1" x14ac:dyDescent="0.2">
      <c r="A96"/>
      <c r="B96" s="8" t="s">
        <v>161</v>
      </c>
      <c r="C96" s="11" t="s">
        <v>155</v>
      </c>
      <c r="D96" s="8" t="str">
        <f t="shared" si="1"/>
        <v>Prefeitura Municipal de Vila Propício</v>
      </c>
      <c r="E96" s="9" t="s">
        <v>158</v>
      </c>
      <c r="F96" s="16" t="s">
        <v>289</v>
      </c>
      <c r="G96" s="8" t="s">
        <v>139</v>
      </c>
      <c r="H96" s="32" t="s">
        <v>25</v>
      </c>
      <c r="I96" s="11" t="s">
        <v>122</v>
      </c>
      <c r="J96" s="8" t="s">
        <v>21</v>
      </c>
      <c r="K96" s="15" t="s">
        <v>70</v>
      </c>
      <c r="L96" s="16">
        <v>45267</v>
      </c>
      <c r="M96" s="16">
        <v>45633</v>
      </c>
      <c r="N96" s="24">
        <v>302400</v>
      </c>
      <c r="O96" s="24"/>
      <c r="P96" s="51"/>
    </row>
    <row r="97" spans="1:16" ht="35.1" customHeight="1" x14ac:dyDescent="0.2">
      <c r="A97" s="64">
        <v>97</v>
      </c>
      <c r="B97" s="8" t="s">
        <v>241</v>
      </c>
      <c r="C97" s="11" t="s">
        <v>109</v>
      </c>
      <c r="D97" s="8" t="str">
        <f t="shared" si="1"/>
        <v>Prefeitura Municipal de São João Do Oriente</v>
      </c>
      <c r="E97" s="9" t="s">
        <v>357</v>
      </c>
      <c r="F97" s="16" t="s">
        <v>262</v>
      </c>
      <c r="G97" s="8" t="s">
        <v>139</v>
      </c>
      <c r="H97" s="11" t="s">
        <v>26</v>
      </c>
      <c r="I97" s="11" t="s">
        <v>122</v>
      </c>
      <c r="J97" s="8" t="s">
        <v>21</v>
      </c>
      <c r="K97" s="42" t="s">
        <v>369</v>
      </c>
      <c r="L97" s="16">
        <v>45163</v>
      </c>
      <c r="M97" s="16">
        <v>46022</v>
      </c>
      <c r="N97" s="34">
        <v>71540</v>
      </c>
      <c r="O97" s="24"/>
      <c r="P97" s="53">
        <v>97</v>
      </c>
    </row>
    <row r="98" spans="1:16" ht="35.1" customHeight="1" x14ac:dyDescent="0.2">
      <c r="A98" s="64">
        <v>98</v>
      </c>
      <c r="B98" s="8" t="s">
        <v>240</v>
      </c>
      <c r="C98" s="11" t="s">
        <v>109</v>
      </c>
      <c r="D98" s="8" t="str">
        <f t="shared" si="1"/>
        <v>Prefeitura Municipal de São João Do Manteninha</v>
      </c>
      <c r="E98" s="9" t="s">
        <v>357</v>
      </c>
      <c r="F98" s="16" t="s">
        <v>317</v>
      </c>
      <c r="G98" s="8" t="s">
        <v>139</v>
      </c>
      <c r="H98" s="11" t="s">
        <v>26</v>
      </c>
      <c r="I98" s="11" t="s">
        <v>122</v>
      </c>
      <c r="J98" s="8" t="s">
        <v>21</v>
      </c>
      <c r="K98" s="42" t="s">
        <v>369</v>
      </c>
      <c r="L98" s="16">
        <v>45012</v>
      </c>
      <c r="M98" s="16">
        <v>46022</v>
      </c>
      <c r="N98" s="34">
        <v>64800</v>
      </c>
      <c r="O98" s="24"/>
      <c r="P98" s="53">
        <v>98</v>
      </c>
    </row>
    <row r="99" spans="1:16" ht="35.1" customHeight="1" x14ac:dyDescent="0.2">
      <c r="A99" s="64">
        <v>99</v>
      </c>
      <c r="B99" s="8" t="s">
        <v>232</v>
      </c>
      <c r="C99" s="11" t="s">
        <v>109</v>
      </c>
      <c r="D99" s="8" t="str">
        <f t="shared" si="1"/>
        <v>Prefeitura Municipal de Itabirinha</v>
      </c>
      <c r="E99" s="9" t="s">
        <v>357</v>
      </c>
      <c r="F99" s="16" t="s">
        <v>264</v>
      </c>
      <c r="G99" s="8" t="s">
        <v>139</v>
      </c>
      <c r="H99" s="11" t="s">
        <v>26</v>
      </c>
      <c r="I99" s="9" t="s">
        <v>122</v>
      </c>
      <c r="J99" s="8" t="s">
        <v>21</v>
      </c>
      <c r="K99" s="42" t="s">
        <v>368</v>
      </c>
      <c r="L99" s="16">
        <v>45536</v>
      </c>
      <c r="M99" s="16">
        <v>46296</v>
      </c>
      <c r="N99" s="33">
        <v>50200</v>
      </c>
      <c r="O99"/>
      <c r="P99" s="58">
        <v>99</v>
      </c>
    </row>
    <row r="100" spans="1:16" ht="35.1" customHeight="1" x14ac:dyDescent="0.2">
      <c r="A100" s="64">
        <v>100</v>
      </c>
      <c r="B100" s="8" t="s">
        <v>222</v>
      </c>
      <c r="C100" s="11" t="s">
        <v>109</v>
      </c>
      <c r="D100" s="8" t="str">
        <f t="shared" si="1"/>
        <v>Prefeitura Municipal de Alvarenga</v>
      </c>
      <c r="E100" s="9" t="s">
        <v>357</v>
      </c>
      <c r="F100" s="16" t="s">
        <v>256</v>
      </c>
      <c r="G100" s="8" t="s">
        <v>139</v>
      </c>
      <c r="H100" s="11" t="s">
        <v>26</v>
      </c>
      <c r="I100" s="11" t="s">
        <v>122</v>
      </c>
      <c r="J100" s="8" t="s">
        <v>21</v>
      </c>
      <c r="K100" s="42" t="s">
        <v>370</v>
      </c>
      <c r="L100" s="16">
        <v>44861</v>
      </c>
      <c r="M100" s="16">
        <v>46323</v>
      </c>
      <c r="N100" s="34">
        <v>43944</v>
      </c>
      <c r="O100" s="24"/>
      <c r="P100" s="53">
        <v>100</v>
      </c>
    </row>
    <row r="101" spans="1:16" ht="35.1" customHeight="1" x14ac:dyDescent="0.2">
      <c r="A101" s="64">
        <v>101</v>
      </c>
      <c r="B101" s="8" t="s">
        <v>252</v>
      </c>
      <c r="C101" s="11" t="s">
        <v>109</v>
      </c>
      <c r="D101" s="8" t="str">
        <f t="shared" si="1"/>
        <v>Prefeitura Municipal de São Felix De Minas</v>
      </c>
      <c r="E101" s="9" t="s">
        <v>357</v>
      </c>
      <c r="F101" s="16" t="s">
        <v>267</v>
      </c>
      <c r="G101" s="8" t="s">
        <v>139</v>
      </c>
      <c r="H101" s="11" t="s">
        <v>26</v>
      </c>
      <c r="I101" s="11" t="s">
        <v>122</v>
      </c>
      <c r="J101" s="8" t="s">
        <v>21</v>
      </c>
      <c r="K101" s="42" t="s">
        <v>369</v>
      </c>
      <c r="L101" s="16">
        <v>45072</v>
      </c>
      <c r="M101" s="16">
        <v>46168</v>
      </c>
      <c r="N101" s="34">
        <v>37650</v>
      </c>
      <c r="O101" s="24"/>
      <c r="P101" s="53">
        <v>101</v>
      </c>
    </row>
    <row r="102" spans="1:16" ht="35.1" customHeight="1" x14ac:dyDescent="0.2">
      <c r="A102" s="64">
        <v>102</v>
      </c>
      <c r="B102" s="8" t="s">
        <v>226</v>
      </c>
      <c r="C102" s="11" t="s">
        <v>109</v>
      </c>
      <c r="D102" s="8" t="str">
        <f t="shared" si="1"/>
        <v>Prefeitura Municipal de Corrego Novo</v>
      </c>
      <c r="E102" s="9" t="s">
        <v>357</v>
      </c>
      <c r="F102" s="16" t="s">
        <v>257</v>
      </c>
      <c r="G102" s="8" t="s">
        <v>139</v>
      </c>
      <c r="H102" s="11" t="s">
        <v>26</v>
      </c>
      <c r="I102" s="11" t="s">
        <v>122</v>
      </c>
      <c r="J102" s="8" t="s">
        <v>21</v>
      </c>
      <c r="K102" s="42" t="s">
        <v>370</v>
      </c>
      <c r="L102" s="16">
        <v>44267</v>
      </c>
      <c r="M102" s="16">
        <v>46022</v>
      </c>
      <c r="N102" s="34">
        <v>30000</v>
      </c>
      <c r="O102" s="24"/>
      <c r="P102" s="53">
        <v>102</v>
      </c>
    </row>
    <row r="103" spans="1:16" ht="35.1" customHeight="1" x14ac:dyDescent="0.2">
      <c r="A103" s="64">
        <v>103</v>
      </c>
      <c r="B103" s="8" t="s">
        <v>298</v>
      </c>
      <c r="C103" s="11" t="s">
        <v>109</v>
      </c>
      <c r="D103" s="8" t="str">
        <f t="shared" si="1"/>
        <v xml:space="preserve">Prefeitura Municipal de Periquito </v>
      </c>
      <c r="E103" s="9" t="s">
        <v>357</v>
      </c>
      <c r="F103" s="16" t="s">
        <v>261</v>
      </c>
      <c r="G103" s="8" t="s">
        <v>139</v>
      </c>
      <c r="H103" s="11" t="s">
        <v>26</v>
      </c>
      <c r="I103" s="11" t="s">
        <v>122</v>
      </c>
      <c r="J103" s="8" t="s">
        <v>21</v>
      </c>
      <c r="K103" s="42" t="s">
        <v>371</v>
      </c>
      <c r="L103" s="16">
        <v>44931</v>
      </c>
      <c r="M103" s="16">
        <v>46323</v>
      </c>
      <c r="N103" s="34">
        <v>27465</v>
      </c>
      <c r="O103"/>
      <c r="P103" s="53">
        <v>103</v>
      </c>
    </row>
    <row r="104" spans="1:16" ht="35.1" customHeight="1" x14ac:dyDescent="0.2">
      <c r="A104" s="64">
        <v>104</v>
      </c>
      <c r="B104" s="8" t="s">
        <v>227</v>
      </c>
      <c r="C104" s="11" t="s">
        <v>109</v>
      </c>
      <c r="D104" s="8" t="str">
        <f t="shared" si="1"/>
        <v>Prefeitura Municipal de Divino Das Laranjeiras</v>
      </c>
      <c r="E104" s="9" t="s">
        <v>357</v>
      </c>
      <c r="F104" s="16" t="s">
        <v>258</v>
      </c>
      <c r="G104" s="8" t="s">
        <v>139</v>
      </c>
      <c r="H104" s="11" t="s">
        <v>26</v>
      </c>
      <c r="I104" s="11" t="s">
        <v>122</v>
      </c>
      <c r="J104" s="8" t="s">
        <v>21</v>
      </c>
      <c r="K104" s="42" t="s">
        <v>370</v>
      </c>
      <c r="L104" s="16">
        <v>44235</v>
      </c>
      <c r="M104" s="16">
        <v>46022</v>
      </c>
      <c r="N104" s="34">
        <v>26250</v>
      </c>
      <c r="O104" s="24"/>
      <c r="P104" s="53">
        <v>104</v>
      </c>
    </row>
    <row r="105" spans="1:16" ht="35.1" customHeight="1" x14ac:dyDescent="0.2">
      <c r="A105" s="64">
        <v>105</v>
      </c>
      <c r="B105" s="8" t="s">
        <v>229</v>
      </c>
      <c r="C105" s="11" t="s">
        <v>109</v>
      </c>
      <c r="D105" s="8" t="str">
        <f t="shared" si="1"/>
        <v>Prefeitura Municipal de Gonzaga</v>
      </c>
      <c r="E105" s="9" t="s">
        <v>357</v>
      </c>
      <c r="F105" s="16" t="s">
        <v>260</v>
      </c>
      <c r="G105" s="8" t="s">
        <v>139</v>
      </c>
      <c r="H105" s="11" t="s">
        <v>26</v>
      </c>
      <c r="I105" s="11" t="s">
        <v>122</v>
      </c>
      <c r="J105" s="8" t="s">
        <v>133</v>
      </c>
      <c r="K105" s="42" t="s">
        <v>368</v>
      </c>
      <c r="L105" s="16">
        <v>45513</v>
      </c>
      <c r="M105" s="16">
        <v>46243</v>
      </c>
      <c r="N105" s="34">
        <v>25620</v>
      </c>
      <c r="O105" s="24"/>
      <c r="P105" s="53">
        <v>105</v>
      </c>
    </row>
    <row r="106" spans="1:16" ht="35.1" customHeight="1" x14ac:dyDescent="0.2">
      <c r="A106"/>
      <c r="B106" s="8" t="s">
        <v>224</v>
      </c>
      <c r="C106" s="11" t="s">
        <v>109</v>
      </c>
      <c r="D106" s="8" t="str">
        <f t="shared" si="1"/>
        <v>Prefeitura Municipal de Capitão Andrade</v>
      </c>
      <c r="E106" s="9" t="s">
        <v>255</v>
      </c>
      <c r="F106" s="16" t="s">
        <v>314</v>
      </c>
      <c r="G106" s="8" t="s">
        <v>139</v>
      </c>
      <c r="H106" s="30" t="s">
        <v>25</v>
      </c>
      <c r="I106" s="11" t="s">
        <v>122</v>
      </c>
      <c r="J106" s="8" t="s">
        <v>21</v>
      </c>
      <c r="K106" s="31" t="s">
        <v>70</v>
      </c>
      <c r="L106" s="16">
        <v>44881</v>
      </c>
      <c r="M106" s="16">
        <v>45956</v>
      </c>
      <c r="N106" s="29">
        <v>131832</v>
      </c>
      <c r="O106" s="24"/>
      <c r="P106" s="59"/>
    </row>
    <row r="107" spans="1:16" ht="35.1" customHeight="1" x14ac:dyDescent="0.2">
      <c r="A107" s="64">
        <v>107</v>
      </c>
      <c r="B107" s="8" t="s">
        <v>228</v>
      </c>
      <c r="C107" s="11" t="s">
        <v>109</v>
      </c>
      <c r="D107" s="8" t="str">
        <f t="shared" si="1"/>
        <v>Prefeitura Municipal de Fernandes Tourinho</v>
      </c>
      <c r="E107" s="9" t="s">
        <v>357</v>
      </c>
      <c r="F107" s="16" t="s">
        <v>259</v>
      </c>
      <c r="G107" s="8" t="s">
        <v>139</v>
      </c>
      <c r="H107" s="11" t="s">
        <v>26</v>
      </c>
      <c r="I107" s="11" t="s">
        <v>122</v>
      </c>
      <c r="J107" s="8" t="s">
        <v>21</v>
      </c>
      <c r="K107" s="42" t="s">
        <v>371</v>
      </c>
      <c r="L107" s="16">
        <v>44659</v>
      </c>
      <c r="M107" s="16">
        <v>46323</v>
      </c>
      <c r="N107" s="34">
        <v>22862</v>
      </c>
      <c r="O107" s="27"/>
      <c r="P107" s="53">
        <v>107</v>
      </c>
    </row>
    <row r="108" spans="1:16" ht="35.1" customHeight="1" x14ac:dyDescent="0.2">
      <c r="A108" s="64">
        <v>108</v>
      </c>
      <c r="B108" s="8" t="s">
        <v>237</v>
      </c>
      <c r="C108" s="11" t="s">
        <v>109</v>
      </c>
      <c r="D108" s="8" t="str">
        <f t="shared" si="1"/>
        <v>Prefeitura Municipal de Mendes Pimentel</v>
      </c>
      <c r="E108" s="9" t="s">
        <v>357</v>
      </c>
      <c r="F108" s="16" t="s">
        <v>345</v>
      </c>
      <c r="G108" s="8" t="s">
        <v>139</v>
      </c>
      <c r="H108" s="11" t="s">
        <v>26</v>
      </c>
      <c r="I108" s="11" t="s">
        <v>122</v>
      </c>
      <c r="J108" s="8" t="s">
        <v>21</v>
      </c>
      <c r="K108" s="42" t="s">
        <v>370</v>
      </c>
      <c r="L108" s="16">
        <v>44349</v>
      </c>
      <c r="M108" s="16" t="s">
        <v>320</v>
      </c>
      <c r="N108" s="34">
        <v>21000</v>
      </c>
      <c r="O108" s="24"/>
      <c r="P108" s="53">
        <v>108</v>
      </c>
    </row>
    <row r="109" spans="1:16" ht="35.1" customHeight="1" x14ac:dyDescent="0.2">
      <c r="A109" s="64">
        <v>109</v>
      </c>
      <c r="B109" s="8" t="s">
        <v>239</v>
      </c>
      <c r="C109" s="11" t="s">
        <v>109</v>
      </c>
      <c r="D109" s="8" t="str">
        <f>_xlfn.CONCAT("Prefeitura Municipal de ",B109," (Compensação pela concessão)")</f>
        <v>Prefeitura Municipal de Santana Do Paraíso (Compensação pela concessão)</v>
      </c>
      <c r="E109" s="9" t="s">
        <v>115</v>
      </c>
      <c r="F109" s="16" t="s">
        <v>350</v>
      </c>
      <c r="G109" s="8" t="s">
        <v>139</v>
      </c>
      <c r="H109" s="11" t="s">
        <v>26</v>
      </c>
      <c r="I109" s="16" t="s">
        <v>350</v>
      </c>
      <c r="J109" s="16" t="s">
        <v>350</v>
      </c>
      <c r="K109" s="16" t="s">
        <v>350</v>
      </c>
      <c r="L109" s="16" t="s">
        <v>350</v>
      </c>
      <c r="M109" s="16" t="s">
        <v>350</v>
      </c>
      <c r="N109" s="34">
        <v>0</v>
      </c>
      <c r="O109" s="27"/>
      <c r="P109" s="53">
        <v>109</v>
      </c>
    </row>
    <row r="110" spans="1:16" ht="35.1" customHeight="1" x14ac:dyDescent="0.2">
      <c r="A110"/>
      <c r="B110" s="8" t="s">
        <v>235</v>
      </c>
      <c r="C110" s="11" t="s">
        <v>109</v>
      </c>
      <c r="D110" s="8" t="str">
        <f>_xlfn.CONCAT("Prefeitura Municipal de ",B110)</f>
        <v>Prefeitura Municipal de Marilac</v>
      </c>
      <c r="E110" s="9" t="s">
        <v>255</v>
      </c>
      <c r="F110" s="16" t="s">
        <v>315</v>
      </c>
      <c r="G110" s="8" t="s">
        <v>139</v>
      </c>
      <c r="H110" s="30" t="s">
        <v>25</v>
      </c>
      <c r="I110" s="11" t="s">
        <v>122</v>
      </c>
      <c r="J110" s="8" t="s">
        <v>21</v>
      </c>
      <c r="K110" s="15" t="s">
        <v>70</v>
      </c>
      <c r="L110" s="16">
        <v>45259</v>
      </c>
      <c r="M110" s="16">
        <v>45624</v>
      </c>
      <c r="N110" s="24">
        <v>105420</v>
      </c>
      <c r="O110" s="24"/>
      <c r="P110" s="51"/>
    </row>
    <row r="111" spans="1:16" ht="35.1" customHeight="1" x14ac:dyDescent="0.2">
      <c r="A111" s="64">
        <v>111</v>
      </c>
      <c r="B111" s="8" t="s">
        <v>45</v>
      </c>
      <c r="C111" s="11" t="s">
        <v>38</v>
      </c>
      <c r="D111" s="8" t="s">
        <v>142</v>
      </c>
      <c r="E111" s="9" t="s">
        <v>360</v>
      </c>
      <c r="F111" s="11" t="s">
        <v>125</v>
      </c>
      <c r="G111" s="8" t="s">
        <v>139</v>
      </c>
      <c r="H111" s="11" t="s">
        <v>26</v>
      </c>
      <c r="I111" s="11" t="s">
        <v>47</v>
      </c>
      <c r="J111" s="8" t="s">
        <v>123</v>
      </c>
      <c r="K111" s="8" t="s">
        <v>48</v>
      </c>
      <c r="L111" s="9">
        <v>36041</v>
      </c>
      <c r="M111" s="9">
        <v>46022</v>
      </c>
      <c r="N111" s="35">
        <v>358800</v>
      </c>
      <c r="O111"/>
      <c r="P111" s="60">
        <v>111</v>
      </c>
    </row>
    <row r="112" spans="1:16" ht="35.1" customHeight="1" x14ac:dyDescent="0.2">
      <c r="A112"/>
      <c r="B112" s="8" t="s">
        <v>254</v>
      </c>
      <c r="C112" s="11" t="s">
        <v>109</v>
      </c>
      <c r="D112" s="8" t="str">
        <f>_xlfn.CONCAT("Prefeitura Municipal de ",B112)</f>
        <v>Prefeitura Municipal de Bugre</v>
      </c>
      <c r="E112" s="9" t="s">
        <v>255</v>
      </c>
      <c r="F112" s="16" t="s">
        <v>269</v>
      </c>
      <c r="G112" s="8" t="s">
        <v>139</v>
      </c>
      <c r="H112" s="30" t="s">
        <v>25</v>
      </c>
      <c r="I112" s="11" t="s">
        <v>122</v>
      </c>
      <c r="J112" s="8" t="s">
        <v>21</v>
      </c>
      <c r="K112" s="8" t="s">
        <v>70</v>
      </c>
      <c r="L112" s="16">
        <v>44469</v>
      </c>
      <c r="M112" s="16">
        <v>45930</v>
      </c>
      <c r="N112" s="29">
        <v>92225</v>
      </c>
      <c r="O112" s="27"/>
      <c r="P112" s="59"/>
    </row>
    <row r="113" spans="1:18" ht="35.1" customHeight="1" x14ac:dyDescent="0.2">
      <c r="A113"/>
      <c r="B113" s="8" t="s">
        <v>249</v>
      </c>
      <c r="C113" s="11" t="s">
        <v>109</v>
      </c>
      <c r="D113" s="8" t="str">
        <f>_xlfn.CONCAT("Prefeitura Municipal de ",B113)</f>
        <v>Prefeitura Municipal de Dionisio</v>
      </c>
      <c r="E113" s="9" t="s">
        <v>255</v>
      </c>
      <c r="F113" s="16" t="s">
        <v>318</v>
      </c>
      <c r="G113" s="8" t="s">
        <v>139</v>
      </c>
      <c r="H113" s="30" t="s">
        <v>25</v>
      </c>
      <c r="I113" s="11" t="s">
        <v>319</v>
      </c>
      <c r="J113" s="8" t="s">
        <v>21</v>
      </c>
      <c r="K113" s="8" t="s">
        <v>70</v>
      </c>
      <c r="L113" s="16">
        <v>43805</v>
      </c>
      <c r="M113" s="16">
        <v>44901</v>
      </c>
      <c r="N113" s="24">
        <v>88891.6</v>
      </c>
      <c r="O113" s="24"/>
      <c r="P113" s="51"/>
    </row>
    <row r="114" spans="1:18" ht="35.1" customHeight="1" x14ac:dyDescent="0.2">
      <c r="A114" s="64">
        <v>114</v>
      </c>
      <c r="B114" s="8" t="s">
        <v>45</v>
      </c>
      <c r="C114" s="11" t="s">
        <v>38</v>
      </c>
      <c r="D114" s="8" t="s">
        <v>142</v>
      </c>
      <c r="E114" s="9" t="s">
        <v>361</v>
      </c>
      <c r="F114" s="11" t="s">
        <v>52</v>
      </c>
      <c r="G114" s="8" t="s">
        <v>139</v>
      </c>
      <c r="H114" s="11" t="s">
        <v>46</v>
      </c>
      <c r="I114" s="11" t="s">
        <v>47</v>
      </c>
      <c r="J114" s="8" t="s">
        <v>124</v>
      </c>
      <c r="K114" s="8" t="s">
        <v>49</v>
      </c>
      <c r="L114" s="9">
        <v>46023</v>
      </c>
      <c r="M114" s="9">
        <v>56973</v>
      </c>
      <c r="N114" s="27">
        <v>1601666772.4400001</v>
      </c>
      <c r="O114" s="27"/>
      <c r="P114" s="52">
        <v>114</v>
      </c>
    </row>
    <row r="115" spans="1:18" ht="35.1" customHeight="1" x14ac:dyDescent="0.2">
      <c r="A115" s="64">
        <v>115</v>
      </c>
      <c r="B115" s="8" t="s">
        <v>71</v>
      </c>
      <c r="C115" s="11" t="s">
        <v>38</v>
      </c>
      <c r="D115" s="8" t="s">
        <v>220</v>
      </c>
      <c r="E115" s="9" t="s">
        <v>73</v>
      </c>
      <c r="F115" s="11" t="s">
        <v>72</v>
      </c>
      <c r="G115" s="8" t="s">
        <v>139</v>
      </c>
      <c r="H115" s="11" t="s">
        <v>26</v>
      </c>
      <c r="I115" s="9" t="s">
        <v>126</v>
      </c>
      <c r="J115" s="8" t="s">
        <v>123</v>
      </c>
      <c r="K115" s="8" t="s">
        <v>40</v>
      </c>
      <c r="L115" s="9">
        <v>40780</v>
      </c>
      <c r="M115" s="9">
        <v>48080</v>
      </c>
      <c r="N115" s="33">
        <v>1591504200</v>
      </c>
      <c r="O115" s="18"/>
      <c r="P115" s="58">
        <v>115</v>
      </c>
      <c r="Q115" s="3"/>
      <c r="R115" s="2"/>
    </row>
    <row r="116" spans="1:18" ht="35.1" customHeight="1" x14ac:dyDescent="0.2">
      <c r="A116" s="64">
        <v>116</v>
      </c>
      <c r="B116" s="8" t="s">
        <v>53</v>
      </c>
      <c r="C116" s="11" t="s">
        <v>54</v>
      </c>
      <c r="D116" s="8" t="s">
        <v>143</v>
      </c>
      <c r="E116" s="9" t="s">
        <v>67</v>
      </c>
      <c r="F116" s="11" t="s">
        <v>66</v>
      </c>
      <c r="G116" s="8" t="s">
        <v>139</v>
      </c>
      <c r="H116" s="11" t="s">
        <v>26</v>
      </c>
      <c r="I116" s="9" t="s">
        <v>126</v>
      </c>
      <c r="J116" s="8" t="s">
        <v>123</v>
      </c>
      <c r="K116" s="8" t="s">
        <v>127</v>
      </c>
      <c r="L116" s="9">
        <v>38273</v>
      </c>
      <c r="M116" s="9">
        <v>52882</v>
      </c>
      <c r="N116" s="33">
        <v>5039480640</v>
      </c>
      <c r="O116" s="18"/>
      <c r="P116" s="58">
        <v>116</v>
      </c>
      <c r="Q116" s="3"/>
      <c r="R116" s="2"/>
    </row>
    <row r="117" spans="1:18" ht="35.1" customHeight="1" x14ac:dyDescent="0.2">
      <c r="A117" s="64">
        <v>117</v>
      </c>
      <c r="B117" s="8" t="s">
        <v>192</v>
      </c>
      <c r="C117" s="11" t="s">
        <v>38</v>
      </c>
      <c r="D117" s="8" t="str">
        <f>_xlfn.CONCAT("Prefeitura Municipal de ",B117)</f>
        <v>Prefeitura Municipal de São Francisco do Itabapoana</v>
      </c>
      <c r="E117" s="9" t="s">
        <v>115</v>
      </c>
      <c r="F117" s="11" t="s">
        <v>311</v>
      </c>
      <c r="G117" s="8" t="s">
        <v>139</v>
      </c>
      <c r="H117" s="11" t="s">
        <v>26</v>
      </c>
      <c r="I117" s="11" t="s">
        <v>122</v>
      </c>
      <c r="J117" s="8" t="s">
        <v>21</v>
      </c>
      <c r="K117" s="42" t="s">
        <v>370</v>
      </c>
      <c r="L117" s="9">
        <v>44270</v>
      </c>
      <c r="M117" s="9">
        <v>46096</v>
      </c>
      <c r="N117" s="27">
        <v>652608.9</v>
      </c>
      <c r="O117" s="68"/>
      <c r="P117" s="52">
        <v>117</v>
      </c>
      <c r="Q117" s="3"/>
      <c r="R117" s="2"/>
    </row>
    <row r="118" spans="1:18" ht="35.1" customHeight="1" x14ac:dyDescent="0.2">
      <c r="A118" s="64">
        <v>118</v>
      </c>
      <c r="B118" s="8" t="s">
        <v>191</v>
      </c>
      <c r="C118" s="11" t="s">
        <v>38</v>
      </c>
      <c r="D118" s="8" t="str">
        <f>_xlfn.CONCAT("Prefeitura Municipal de ",B118)</f>
        <v>Prefeitura Municipal de Bom Jesus do Itabapoana</v>
      </c>
      <c r="E118" s="9" t="s">
        <v>115</v>
      </c>
      <c r="F118" s="11" t="s">
        <v>310</v>
      </c>
      <c r="G118" s="8" t="s">
        <v>139</v>
      </c>
      <c r="H118" s="11" t="s">
        <v>26</v>
      </c>
      <c r="I118" s="11" t="s">
        <v>122</v>
      </c>
      <c r="J118" s="8" t="s">
        <v>21</v>
      </c>
      <c r="K118" s="42" t="s">
        <v>369</v>
      </c>
      <c r="L118" s="9">
        <v>45069</v>
      </c>
      <c r="M118" s="9">
        <v>46164</v>
      </c>
      <c r="N118" s="27">
        <v>679999</v>
      </c>
      <c r="O118" s="68"/>
      <c r="P118" s="52">
        <v>118</v>
      </c>
      <c r="Q118" s="3"/>
      <c r="R118" s="2"/>
    </row>
    <row r="119" spans="1:18" ht="35.1" customHeight="1" x14ac:dyDescent="0.2">
      <c r="A119" s="64">
        <v>119</v>
      </c>
      <c r="B119" s="8" t="s">
        <v>104</v>
      </c>
      <c r="C119" s="11" t="s">
        <v>105</v>
      </c>
      <c r="D119" s="8" t="s">
        <v>150</v>
      </c>
      <c r="E119" s="9" t="s">
        <v>115</v>
      </c>
      <c r="F119" s="11" t="s">
        <v>106</v>
      </c>
      <c r="G119" s="8" t="s">
        <v>139</v>
      </c>
      <c r="H119" s="11" t="s">
        <v>26</v>
      </c>
      <c r="I119" s="9" t="s">
        <v>126</v>
      </c>
      <c r="J119" s="8" t="s">
        <v>123</v>
      </c>
      <c r="K119" s="8" t="s">
        <v>107</v>
      </c>
      <c r="L119" s="9">
        <v>41518</v>
      </c>
      <c r="M119" s="9">
        <v>46996</v>
      </c>
      <c r="N119" s="33">
        <v>392110252.76999998</v>
      </c>
      <c r="O119" s="24"/>
      <c r="P119" s="58">
        <v>119</v>
      </c>
    </row>
    <row r="120" spans="1:18" ht="35.1" customHeight="1" x14ac:dyDescent="0.2">
      <c r="A120" s="64">
        <v>120</v>
      </c>
      <c r="B120" s="8" t="s">
        <v>113</v>
      </c>
      <c r="C120" s="11" t="s">
        <v>109</v>
      </c>
      <c r="D120" s="8" t="s">
        <v>149</v>
      </c>
      <c r="E120" s="9" t="s">
        <v>348</v>
      </c>
      <c r="F120" s="16" t="s">
        <v>116</v>
      </c>
      <c r="G120" s="8" t="s">
        <v>139</v>
      </c>
      <c r="H120" s="11" t="s">
        <v>26</v>
      </c>
      <c r="I120" s="9" t="s">
        <v>126</v>
      </c>
      <c r="J120" s="8" t="s">
        <v>123</v>
      </c>
      <c r="K120" s="8" t="s">
        <v>48</v>
      </c>
      <c r="L120" s="9">
        <v>39776</v>
      </c>
      <c r="M120" s="9">
        <v>48901</v>
      </c>
      <c r="N120" s="27">
        <v>759210296.25</v>
      </c>
      <c r="O120"/>
      <c r="P120" s="52">
        <v>120</v>
      </c>
    </row>
    <row r="121" spans="1:18" ht="35.1" customHeight="1" x14ac:dyDescent="0.2">
      <c r="A121" s="64">
        <v>121</v>
      </c>
      <c r="B121" s="8" t="s">
        <v>216</v>
      </c>
      <c r="C121" s="11" t="s">
        <v>109</v>
      </c>
      <c r="D121" s="8" t="str">
        <f t="shared" ref="D121:D134" si="2">_xlfn.CONCAT("Prefeitura Municipal de ",B121)</f>
        <v>Prefeitura Municipal de Ribeirão das Neves</v>
      </c>
      <c r="E121" s="9" t="s">
        <v>357</v>
      </c>
      <c r="F121" s="16" t="s">
        <v>286</v>
      </c>
      <c r="G121" s="8" t="s">
        <v>139</v>
      </c>
      <c r="H121" s="11" t="s">
        <v>26</v>
      </c>
      <c r="I121" s="11" t="s">
        <v>122</v>
      </c>
      <c r="J121" s="8" t="s">
        <v>133</v>
      </c>
      <c r="K121" s="15" t="s">
        <v>379</v>
      </c>
      <c r="L121" s="16">
        <v>45600</v>
      </c>
      <c r="M121" s="16">
        <v>46330</v>
      </c>
      <c r="N121" s="24">
        <v>11107200</v>
      </c>
      <c r="O121"/>
      <c r="P121" s="51">
        <v>121</v>
      </c>
    </row>
    <row r="122" spans="1:18" ht="35.1" customHeight="1" x14ac:dyDescent="0.2">
      <c r="A122" s="64">
        <v>122</v>
      </c>
      <c r="B122" s="8" t="s">
        <v>215</v>
      </c>
      <c r="C122" s="11" t="s">
        <v>109</v>
      </c>
      <c r="D122" s="8" t="str">
        <f t="shared" si="2"/>
        <v>Prefeitura Municipal de Nova Lima</v>
      </c>
      <c r="E122" s="9" t="s">
        <v>357</v>
      </c>
      <c r="F122" s="16" t="s">
        <v>285</v>
      </c>
      <c r="G122" s="8" t="s">
        <v>139</v>
      </c>
      <c r="H122" s="11" t="s">
        <v>26</v>
      </c>
      <c r="I122" s="11" t="s">
        <v>122</v>
      </c>
      <c r="J122" s="8" t="s">
        <v>21</v>
      </c>
      <c r="K122" s="42" t="s">
        <v>373</v>
      </c>
      <c r="L122" s="16">
        <v>44649</v>
      </c>
      <c r="M122" s="16">
        <v>46109</v>
      </c>
      <c r="N122" s="34">
        <v>4704000</v>
      </c>
      <c r="O122" s="24"/>
      <c r="P122" s="53">
        <v>122</v>
      </c>
    </row>
    <row r="123" spans="1:18" ht="35.1" customHeight="1" x14ac:dyDescent="0.2">
      <c r="A123"/>
      <c r="B123" s="8" t="s">
        <v>206</v>
      </c>
      <c r="C123" s="11" t="s">
        <v>109</v>
      </c>
      <c r="D123" s="8" t="str">
        <f t="shared" si="2"/>
        <v>Prefeitura Municipal de Bom Jesus do Amparo</v>
      </c>
      <c r="E123" s="9" t="s">
        <v>348</v>
      </c>
      <c r="F123" s="16" t="s">
        <v>278</v>
      </c>
      <c r="G123" s="8" t="s">
        <v>139</v>
      </c>
      <c r="H123" s="30" t="s">
        <v>25</v>
      </c>
      <c r="I123" s="11" t="s">
        <v>122</v>
      </c>
      <c r="J123" s="8" t="s">
        <v>21</v>
      </c>
      <c r="K123" s="15" t="s">
        <v>70</v>
      </c>
      <c r="L123" s="16">
        <v>45385</v>
      </c>
      <c r="M123" s="16">
        <v>45748</v>
      </c>
      <c r="N123" s="29">
        <v>50440</v>
      </c>
      <c r="O123"/>
      <c r="P123" s="59"/>
    </row>
    <row r="124" spans="1:18" ht="35.1" customHeight="1" x14ac:dyDescent="0.2">
      <c r="A124" s="64">
        <v>124</v>
      </c>
      <c r="B124" s="8" t="s">
        <v>218</v>
      </c>
      <c r="C124" s="11" t="s">
        <v>109</v>
      </c>
      <c r="D124" s="8" t="str">
        <f t="shared" si="2"/>
        <v>Prefeitura Municipal de Vespasiano</v>
      </c>
      <c r="E124" s="9" t="s">
        <v>357</v>
      </c>
      <c r="F124" s="16" t="s">
        <v>326</v>
      </c>
      <c r="G124" s="8" t="s">
        <v>139</v>
      </c>
      <c r="H124" s="11" t="s">
        <v>26</v>
      </c>
      <c r="I124" s="11" t="s">
        <v>122</v>
      </c>
      <c r="J124" s="8" t="s">
        <v>133</v>
      </c>
      <c r="K124" s="15" t="s">
        <v>70</v>
      </c>
      <c r="L124" s="16">
        <v>46000</v>
      </c>
      <c r="M124" s="16">
        <v>46364</v>
      </c>
      <c r="N124" s="24">
        <v>2655600</v>
      </c>
      <c r="O124"/>
      <c r="P124" s="51">
        <v>124</v>
      </c>
    </row>
    <row r="125" spans="1:18" ht="35.1" customHeight="1" x14ac:dyDescent="0.2">
      <c r="A125" s="64">
        <v>125</v>
      </c>
      <c r="B125" s="8" t="s">
        <v>213</v>
      </c>
      <c r="C125" s="11" t="s">
        <v>109</v>
      </c>
      <c r="D125" s="8" t="str">
        <f t="shared" si="2"/>
        <v>Prefeitura Municipal de Matozinhos</v>
      </c>
      <c r="E125" s="9" t="s">
        <v>357</v>
      </c>
      <c r="F125" s="16" t="s">
        <v>284</v>
      </c>
      <c r="G125" s="8" t="s">
        <v>139</v>
      </c>
      <c r="H125" s="11" t="s">
        <v>26</v>
      </c>
      <c r="I125" s="11" t="s">
        <v>122</v>
      </c>
      <c r="J125" s="8" t="s">
        <v>21</v>
      </c>
      <c r="K125" s="42" t="s">
        <v>370</v>
      </c>
      <c r="L125" s="16">
        <v>44664</v>
      </c>
      <c r="M125" s="16">
        <v>46022</v>
      </c>
      <c r="N125" s="34">
        <v>952560</v>
      </c>
      <c r="O125" s="24"/>
      <c r="P125" s="53">
        <v>125</v>
      </c>
    </row>
    <row r="126" spans="1:18" ht="35.1" customHeight="1" x14ac:dyDescent="0.2">
      <c r="A126" s="64">
        <v>126</v>
      </c>
      <c r="B126" s="8" t="s">
        <v>207</v>
      </c>
      <c r="C126" s="11" t="s">
        <v>109</v>
      </c>
      <c r="D126" s="8" t="str">
        <f t="shared" si="2"/>
        <v>Prefeitura Municipal de Caeté</v>
      </c>
      <c r="E126" s="9" t="s">
        <v>357</v>
      </c>
      <c r="F126" s="16" t="s">
        <v>279</v>
      </c>
      <c r="G126" s="8" t="s">
        <v>139</v>
      </c>
      <c r="H126" s="11" t="s">
        <v>26</v>
      </c>
      <c r="I126" s="11" t="s">
        <v>122</v>
      </c>
      <c r="J126" s="8" t="s">
        <v>21</v>
      </c>
      <c r="K126" s="42" t="s">
        <v>370</v>
      </c>
      <c r="L126" s="16">
        <v>44749</v>
      </c>
      <c r="M126" s="16">
        <v>46210</v>
      </c>
      <c r="N126" s="34">
        <v>729120</v>
      </c>
      <c r="O126" s="24"/>
      <c r="P126" s="53">
        <v>126</v>
      </c>
    </row>
    <row r="127" spans="1:18" ht="15" customHeight="1" x14ac:dyDescent="0.2">
      <c r="A127"/>
      <c r="B127" s="8" t="s">
        <v>236</v>
      </c>
      <c r="C127" s="11" t="s">
        <v>109</v>
      </c>
      <c r="D127" s="8" t="str">
        <f t="shared" si="2"/>
        <v>Prefeitura Municipal de Mathias Lobato</v>
      </c>
      <c r="E127" s="9" t="s">
        <v>255</v>
      </c>
      <c r="F127" s="16" t="s">
        <v>261</v>
      </c>
      <c r="G127" s="8" t="s">
        <v>139</v>
      </c>
      <c r="H127" s="30" t="s">
        <v>25</v>
      </c>
      <c r="I127" s="11" t="s">
        <v>122</v>
      </c>
      <c r="J127" s="8" t="s">
        <v>21</v>
      </c>
      <c r="K127" s="8" t="s">
        <v>70</v>
      </c>
      <c r="L127" s="16">
        <v>44680</v>
      </c>
      <c r="M127" s="16">
        <v>45749</v>
      </c>
      <c r="N127" s="24">
        <v>34800</v>
      </c>
      <c r="O127" s="24"/>
      <c r="P127" s="51"/>
    </row>
    <row r="128" spans="1:18" ht="15" customHeight="1" x14ac:dyDescent="0.2">
      <c r="A128"/>
      <c r="B128" s="8" t="s">
        <v>242</v>
      </c>
      <c r="C128" s="11" t="s">
        <v>109</v>
      </c>
      <c r="D128" s="8" t="str">
        <f t="shared" si="2"/>
        <v>Prefeitura Municipal de São Geraldo Da Piedade</v>
      </c>
      <c r="E128" s="9" t="s">
        <v>255</v>
      </c>
      <c r="F128" s="16" t="s">
        <v>316</v>
      </c>
      <c r="G128" s="8" t="s">
        <v>139</v>
      </c>
      <c r="H128" s="30" t="s">
        <v>25</v>
      </c>
      <c r="I128" s="11" t="s">
        <v>122</v>
      </c>
      <c r="J128" s="8" t="s">
        <v>21</v>
      </c>
      <c r="K128" s="15" t="s">
        <v>70</v>
      </c>
      <c r="L128" s="16">
        <v>44875</v>
      </c>
      <c r="M128" s="16">
        <v>45227</v>
      </c>
      <c r="N128" s="24">
        <v>32958</v>
      </c>
      <c r="O128"/>
      <c r="P128" s="51"/>
    </row>
    <row r="129" spans="1:16" ht="35.1" customHeight="1" x14ac:dyDescent="0.2">
      <c r="A129" s="64">
        <v>129</v>
      </c>
      <c r="B129" s="8" t="s">
        <v>211</v>
      </c>
      <c r="C129" s="11" t="s">
        <v>109</v>
      </c>
      <c r="D129" s="8" t="str">
        <f t="shared" si="2"/>
        <v>Prefeitura Municipal de Jaboticatubas</v>
      </c>
      <c r="E129" s="9" t="s">
        <v>357</v>
      </c>
      <c r="F129" s="16" t="s">
        <v>282</v>
      </c>
      <c r="G129" s="8" t="s">
        <v>139</v>
      </c>
      <c r="H129" s="11" t="s">
        <v>26</v>
      </c>
      <c r="I129" s="11" t="s">
        <v>122</v>
      </c>
      <c r="J129" s="8" t="s">
        <v>21</v>
      </c>
      <c r="K129" s="42" t="s">
        <v>369</v>
      </c>
      <c r="L129" s="16">
        <v>45596</v>
      </c>
      <c r="M129" s="16">
        <v>46022</v>
      </c>
      <c r="N129" s="34">
        <v>414981</v>
      </c>
      <c r="O129"/>
      <c r="P129" s="53">
        <v>129</v>
      </c>
    </row>
    <row r="130" spans="1:16" ht="35.1" customHeight="1" x14ac:dyDescent="0.2">
      <c r="A130" s="64">
        <v>130</v>
      </c>
      <c r="B130" s="8" t="s">
        <v>208</v>
      </c>
      <c r="C130" s="11" t="s">
        <v>109</v>
      </c>
      <c r="D130" s="8" t="str">
        <f t="shared" si="2"/>
        <v>Prefeitura Municipal de Conceicao do Mato Dentro</v>
      </c>
      <c r="E130" s="9" t="s">
        <v>357</v>
      </c>
      <c r="F130" s="16" t="s">
        <v>325</v>
      </c>
      <c r="G130" s="8" t="s">
        <v>139</v>
      </c>
      <c r="H130" s="11" t="s">
        <v>26</v>
      </c>
      <c r="I130" s="11" t="s">
        <v>4</v>
      </c>
      <c r="J130" s="8" t="s">
        <v>133</v>
      </c>
      <c r="K130" s="42" t="s">
        <v>374</v>
      </c>
      <c r="L130" s="16">
        <v>45786</v>
      </c>
      <c r="M130" s="16">
        <v>46150</v>
      </c>
      <c r="N130" s="34">
        <v>288000</v>
      </c>
      <c r="O130"/>
      <c r="P130" s="53">
        <v>130</v>
      </c>
    </row>
    <row r="131" spans="1:16" ht="35.1" customHeight="1" x14ac:dyDescent="0.2">
      <c r="A131" s="64">
        <v>131</v>
      </c>
      <c r="B131" s="8" t="s">
        <v>209</v>
      </c>
      <c r="C131" s="11" t="s">
        <v>109</v>
      </c>
      <c r="D131" s="8" t="str">
        <f t="shared" si="2"/>
        <v>Prefeitura Municipal de Confins</v>
      </c>
      <c r="E131" s="9" t="s">
        <v>357</v>
      </c>
      <c r="F131" s="16" t="s">
        <v>280</v>
      </c>
      <c r="G131" s="8" t="s">
        <v>139</v>
      </c>
      <c r="H131" s="11" t="s">
        <v>26</v>
      </c>
      <c r="I131" s="11" t="s">
        <v>122</v>
      </c>
      <c r="J131" s="8" t="s">
        <v>21</v>
      </c>
      <c r="K131" s="42" t="s">
        <v>370</v>
      </c>
      <c r="L131" s="16">
        <v>44398</v>
      </c>
      <c r="M131" s="16">
        <v>46224</v>
      </c>
      <c r="N131" s="34">
        <v>194750</v>
      </c>
      <c r="O131"/>
      <c r="P131" s="53">
        <v>131</v>
      </c>
    </row>
    <row r="132" spans="1:16" ht="35.1" customHeight="1" x14ac:dyDescent="0.2">
      <c r="A132" s="64">
        <v>132</v>
      </c>
      <c r="B132" s="8" t="s">
        <v>212</v>
      </c>
      <c r="C132" s="11" t="s">
        <v>109</v>
      </c>
      <c r="D132" s="8" t="str">
        <f t="shared" si="2"/>
        <v>Prefeitura Municipal de Jequitibá</v>
      </c>
      <c r="E132" s="9" t="s">
        <v>357</v>
      </c>
      <c r="F132" s="16" t="s">
        <v>283</v>
      </c>
      <c r="G132" s="8" t="s">
        <v>139</v>
      </c>
      <c r="H132" s="11" t="s">
        <v>26</v>
      </c>
      <c r="I132" s="11" t="s">
        <v>122</v>
      </c>
      <c r="J132" s="8" t="s">
        <v>21</v>
      </c>
      <c r="K132" s="42" t="s">
        <v>373</v>
      </c>
      <c r="L132" s="16">
        <v>44545</v>
      </c>
      <c r="M132" s="16">
        <v>46371</v>
      </c>
      <c r="N132" s="34">
        <v>115800</v>
      </c>
      <c r="O132"/>
      <c r="P132" s="53">
        <v>132</v>
      </c>
    </row>
    <row r="133" spans="1:16" ht="35.1" customHeight="1" x14ac:dyDescent="0.2">
      <c r="A133" s="64">
        <v>133</v>
      </c>
      <c r="B133" s="8" t="s">
        <v>210</v>
      </c>
      <c r="C133" s="11" t="s">
        <v>109</v>
      </c>
      <c r="D133" s="8" t="str">
        <f t="shared" si="2"/>
        <v>Prefeitura Municipal de Cordisburgo</v>
      </c>
      <c r="E133" s="9" t="s">
        <v>357</v>
      </c>
      <c r="F133" s="16" t="s">
        <v>281</v>
      </c>
      <c r="G133" s="8" t="s">
        <v>139</v>
      </c>
      <c r="H133" s="11" t="s">
        <v>26</v>
      </c>
      <c r="I133" s="11" t="s">
        <v>122</v>
      </c>
      <c r="J133" s="8" t="s">
        <v>21</v>
      </c>
      <c r="K133" s="42" t="s">
        <v>368</v>
      </c>
      <c r="L133" s="16">
        <v>45306</v>
      </c>
      <c r="M133" s="16">
        <v>46022</v>
      </c>
      <c r="N133" s="34">
        <v>113760</v>
      </c>
      <c r="O133"/>
      <c r="P133" s="53">
        <v>133</v>
      </c>
    </row>
    <row r="134" spans="1:16" ht="35.1" customHeight="1" x14ac:dyDescent="0.2">
      <c r="A134" s="64">
        <v>134</v>
      </c>
      <c r="B134" s="8" t="s">
        <v>217</v>
      </c>
      <c r="C134" s="11" t="s">
        <v>109</v>
      </c>
      <c r="D134" s="8" t="str">
        <f t="shared" si="2"/>
        <v>Prefeitura Municipal de Santana do Riacho</v>
      </c>
      <c r="E134" s="9" t="s">
        <v>357</v>
      </c>
      <c r="F134" s="16" t="s">
        <v>327</v>
      </c>
      <c r="G134" s="8" t="s">
        <v>139</v>
      </c>
      <c r="H134" s="9" t="s">
        <v>329</v>
      </c>
      <c r="I134" s="11" t="s">
        <v>122</v>
      </c>
      <c r="J134" s="8" t="s">
        <v>21</v>
      </c>
      <c r="K134" s="15" t="s">
        <v>70</v>
      </c>
      <c r="L134" s="16">
        <v>46011</v>
      </c>
      <c r="M134" s="16">
        <v>46376</v>
      </c>
      <c r="N134" s="24">
        <v>689040</v>
      </c>
      <c r="O134"/>
      <c r="P134" s="51">
        <v>134</v>
      </c>
    </row>
    <row r="135" spans="1:16" ht="35.1" customHeight="1" x14ac:dyDescent="0.2">
      <c r="A135" s="64">
        <v>135</v>
      </c>
      <c r="B135" s="8" t="s">
        <v>74</v>
      </c>
      <c r="C135" s="11" t="s">
        <v>75</v>
      </c>
      <c r="D135" s="8" t="s">
        <v>145</v>
      </c>
      <c r="E135" s="9" t="s">
        <v>81</v>
      </c>
      <c r="F135" s="16" t="s">
        <v>80</v>
      </c>
      <c r="G135" s="8" t="s">
        <v>139</v>
      </c>
      <c r="H135" s="11" t="s">
        <v>26</v>
      </c>
      <c r="I135" s="9" t="s">
        <v>128</v>
      </c>
      <c r="J135" s="8" t="s">
        <v>123</v>
      </c>
      <c r="K135" s="8" t="s">
        <v>40</v>
      </c>
      <c r="L135" s="9">
        <v>41033</v>
      </c>
      <c r="M135" s="9">
        <v>48338</v>
      </c>
      <c r="N135" s="33">
        <v>2978105666.7600002</v>
      </c>
      <c r="O135" s="24"/>
      <c r="P135" s="58">
        <v>135</v>
      </c>
    </row>
    <row r="136" spans="1:16" ht="35.1" customHeight="1" x14ac:dyDescent="0.2">
      <c r="A136"/>
      <c r="B136" s="8" t="s">
        <v>230</v>
      </c>
      <c r="C136" s="11" t="s">
        <v>109</v>
      </c>
      <c r="D136" s="8" t="str">
        <f t="shared" ref="D136:D137" si="3">_xlfn.CONCAT("Prefeitura Municipal de ",B136)</f>
        <v>Prefeitura Municipal de Governador Valadares</v>
      </c>
      <c r="E136" s="9" t="s">
        <v>255</v>
      </c>
      <c r="F136" s="16" t="s">
        <v>302</v>
      </c>
      <c r="G136" s="8" t="s">
        <v>139</v>
      </c>
      <c r="H136" s="11" t="s">
        <v>25</v>
      </c>
      <c r="I136" s="11" t="s">
        <v>122</v>
      </c>
      <c r="J136" s="8" t="s">
        <v>21</v>
      </c>
      <c r="K136" s="8" t="s">
        <v>70</v>
      </c>
      <c r="L136" s="16">
        <v>43637</v>
      </c>
      <c r="M136" s="16">
        <v>45831</v>
      </c>
      <c r="N136" s="24">
        <v>0</v>
      </c>
      <c r="O136" s="24"/>
      <c r="P136" s="51"/>
    </row>
    <row r="137" spans="1:16" ht="35.1" customHeight="1" x14ac:dyDescent="0.2">
      <c r="A137"/>
      <c r="B137" s="8" t="s">
        <v>297</v>
      </c>
      <c r="C137" s="11" t="s">
        <v>109</v>
      </c>
      <c r="D137" s="8" t="str">
        <f t="shared" si="3"/>
        <v xml:space="preserve">Prefeitura Municipal de Pingo D´Água </v>
      </c>
      <c r="E137" s="9" t="s">
        <v>255</v>
      </c>
      <c r="F137" s="16" t="s">
        <v>308</v>
      </c>
      <c r="G137" s="8" t="s">
        <v>139</v>
      </c>
      <c r="H137" s="11" t="s">
        <v>25</v>
      </c>
      <c r="I137" s="11" t="s">
        <v>122</v>
      </c>
      <c r="J137" s="8" t="s">
        <v>21</v>
      </c>
      <c r="K137" s="15" t="s">
        <v>338</v>
      </c>
      <c r="L137" s="16">
        <v>43677</v>
      </c>
      <c r="M137" s="16">
        <v>45717</v>
      </c>
      <c r="N137" s="24">
        <v>0</v>
      </c>
      <c r="O137"/>
      <c r="P137" s="51"/>
    </row>
    <row r="138" spans="1:16" ht="35.1" customHeight="1" x14ac:dyDescent="0.2">
      <c r="A138"/>
      <c r="B138" s="8" t="s">
        <v>0</v>
      </c>
      <c r="C138" s="11" t="s">
        <v>2</v>
      </c>
      <c r="D138" s="8" t="s">
        <v>137</v>
      </c>
      <c r="E138" s="9" t="s">
        <v>97</v>
      </c>
      <c r="F138" s="8" t="s">
        <v>43</v>
      </c>
      <c r="G138" s="8" t="s">
        <v>139</v>
      </c>
      <c r="H138" s="8" t="s">
        <v>25</v>
      </c>
      <c r="I138" s="8" t="s">
        <v>4</v>
      </c>
      <c r="J138" s="8" t="s">
        <v>20</v>
      </c>
      <c r="K138" s="8" t="s">
        <v>55</v>
      </c>
      <c r="L138" s="9">
        <v>38820</v>
      </c>
      <c r="M138" s="9">
        <v>38999</v>
      </c>
      <c r="N138" s="10"/>
      <c r="O138" s="24"/>
      <c r="P138" s="54"/>
    </row>
    <row r="139" spans="1:16" ht="35.1" customHeight="1" x14ac:dyDescent="0.2">
      <c r="A139"/>
      <c r="B139" s="8" t="s">
        <v>0</v>
      </c>
      <c r="C139" s="11" t="s">
        <v>2</v>
      </c>
      <c r="D139" s="8" t="s">
        <v>137</v>
      </c>
      <c r="E139" s="9" t="s">
        <v>97</v>
      </c>
      <c r="F139" s="8" t="s">
        <v>44</v>
      </c>
      <c r="G139" s="8" t="s">
        <v>139</v>
      </c>
      <c r="H139" s="8" t="s">
        <v>25</v>
      </c>
      <c r="I139" s="8" t="s">
        <v>122</v>
      </c>
      <c r="J139" s="8" t="s">
        <v>21</v>
      </c>
      <c r="K139" s="8" t="s">
        <v>68</v>
      </c>
      <c r="L139" s="9">
        <v>38899</v>
      </c>
      <c r="M139" s="9">
        <v>41090</v>
      </c>
      <c r="N139" s="10"/>
      <c r="O139"/>
      <c r="P139" s="54"/>
    </row>
    <row r="140" spans="1:16" ht="35.1" customHeight="1" x14ac:dyDescent="0.2">
      <c r="A140"/>
      <c r="B140" s="8" t="s">
        <v>37</v>
      </c>
      <c r="C140" s="11" t="s">
        <v>38</v>
      </c>
      <c r="D140" s="8" t="s">
        <v>141</v>
      </c>
      <c r="E140" s="9" t="s">
        <v>41</v>
      </c>
      <c r="F140" s="11" t="s">
        <v>39</v>
      </c>
      <c r="G140" s="8" t="s">
        <v>139</v>
      </c>
      <c r="H140" s="11" t="s">
        <v>25</v>
      </c>
      <c r="I140" s="11" t="s">
        <v>122</v>
      </c>
      <c r="J140" s="8" t="s">
        <v>21</v>
      </c>
      <c r="K140" s="8" t="s">
        <v>62</v>
      </c>
      <c r="L140" s="9">
        <v>43137</v>
      </c>
      <c r="M140" s="9">
        <v>44382</v>
      </c>
      <c r="N140" s="10"/>
      <c r="O140"/>
      <c r="P140" s="54"/>
    </row>
    <row r="141" spans="1:16" ht="35.1" customHeight="1" x14ac:dyDescent="0.2">
      <c r="A141"/>
      <c r="B141" s="8" t="s">
        <v>45</v>
      </c>
      <c r="C141" s="11" t="s">
        <v>38</v>
      </c>
      <c r="D141" s="8" t="s">
        <v>142</v>
      </c>
      <c r="E141" s="9" t="s">
        <v>50</v>
      </c>
      <c r="F141" s="11"/>
      <c r="G141" s="8" t="s">
        <v>139</v>
      </c>
      <c r="H141" s="11" t="s">
        <v>25</v>
      </c>
      <c r="I141" s="11" t="s">
        <v>4</v>
      </c>
      <c r="J141" s="8" t="s">
        <v>20</v>
      </c>
      <c r="K141" s="8" t="s">
        <v>51</v>
      </c>
      <c r="L141" s="9">
        <f>M141-120</f>
        <v>35920</v>
      </c>
      <c r="M141" s="9">
        <v>36040</v>
      </c>
      <c r="N141" s="10"/>
      <c r="O141" s="24"/>
      <c r="P141" s="54"/>
    </row>
    <row r="142" spans="1:16" ht="35.1" customHeight="1" x14ac:dyDescent="0.2">
      <c r="A142"/>
      <c r="B142" s="8" t="s">
        <v>53</v>
      </c>
      <c r="C142" s="11" t="s">
        <v>54</v>
      </c>
      <c r="D142" s="8" t="s">
        <v>143</v>
      </c>
      <c r="E142" s="9" t="s">
        <v>86</v>
      </c>
      <c r="F142" s="11" t="s">
        <v>56</v>
      </c>
      <c r="G142" s="8" t="s">
        <v>139</v>
      </c>
      <c r="H142" s="11" t="s">
        <v>25</v>
      </c>
      <c r="I142" s="11" t="s">
        <v>4</v>
      </c>
      <c r="J142" s="8" t="s">
        <v>20</v>
      </c>
      <c r="K142" s="8" t="s">
        <v>55</v>
      </c>
      <c r="L142" s="9">
        <v>36999</v>
      </c>
      <c r="M142" s="9">
        <v>37179</v>
      </c>
      <c r="N142" s="10"/>
      <c r="O142"/>
      <c r="P142" s="54"/>
    </row>
    <row r="143" spans="1:16" ht="35.1" customHeight="1" x14ac:dyDescent="0.2">
      <c r="A143"/>
      <c r="B143" s="8" t="s">
        <v>53</v>
      </c>
      <c r="C143" s="11" t="s">
        <v>54</v>
      </c>
      <c r="D143" s="8" t="s">
        <v>143</v>
      </c>
      <c r="E143" s="9" t="s">
        <v>86</v>
      </c>
      <c r="F143" s="11" t="s">
        <v>57</v>
      </c>
      <c r="G143" s="8" t="s">
        <v>139</v>
      </c>
      <c r="H143" s="11" t="s">
        <v>25</v>
      </c>
      <c r="I143" s="11" t="s">
        <v>4</v>
      </c>
      <c r="J143" s="8" t="s">
        <v>20</v>
      </c>
      <c r="K143" s="8" t="s">
        <v>55</v>
      </c>
      <c r="L143" s="9">
        <v>37179</v>
      </c>
      <c r="M143" s="9">
        <v>37359</v>
      </c>
      <c r="N143" s="10"/>
      <c r="O143" s="24"/>
      <c r="P143" s="54"/>
    </row>
    <row r="144" spans="1:16" ht="35.1" customHeight="1" x14ac:dyDescent="0.2">
      <c r="A144"/>
      <c r="B144" s="8" t="s">
        <v>53</v>
      </c>
      <c r="C144" s="11" t="s">
        <v>54</v>
      </c>
      <c r="D144" s="8" t="s">
        <v>143</v>
      </c>
      <c r="E144" s="9" t="s">
        <v>86</v>
      </c>
      <c r="F144" s="11" t="s">
        <v>58</v>
      </c>
      <c r="G144" s="8" t="s">
        <v>139</v>
      </c>
      <c r="H144" s="11" t="s">
        <v>25</v>
      </c>
      <c r="I144" s="11" t="s">
        <v>122</v>
      </c>
      <c r="J144" s="8" t="s">
        <v>21</v>
      </c>
      <c r="K144" s="8" t="s">
        <v>62</v>
      </c>
      <c r="L144" s="9">
        <v>37359</v>
      </c>
      <c r="M144" s="9">
        <v>38273</v>
      </c>
      <c r="N144" s="10"/>
      <c r="O144" s="24"/>
      <c r="P144" s="54"/>
    </row>
    <row r="145" spans="1:18" ht="35.1" customHeight="1" x14ac:dyDescent="0.2">
      <c r="A145"/>
      <c r="B145" s="8" t="s">
        <v>53</v>
      </c>
      <c r="C145" s="11" t="s">
        <v>54</v>
      </c>
      <c r="D145" s="8" t="s">
        <v>143</v>
      </c>
      <c r="E145" s="11" t="s">
        <v>60</v>
      </c>
      <c r="F145" s="11" t="s">
        <v>60</v>
      </c>
      <c r="G145" s="8" t="s">
        <v>139</v>
      </c>
      <c r="H145" s="11" t="s">
        <v>25</v>
      </c>
      <c r="I145" s="11" t="s">
        <v>4</v>
      </c>
      <c r="J145" s="8" t="s">
        <v>20</v>
      </c>
      <c r="K145" s="8" t="s">
        <v>61</v>
      </c>
      <c r="L145" s="9">
        <v>38273</v>
      </c>
      <c r="M145" s="9">
        <v>38303</v>
      </c>
      <c r="N145" s="10"/>
      <c r="O145"/>
      <c r="P145" s="54"/>
    </row>
    <row r="146" spans="1:18" ht="35.1" customHeight="1" x14ac:dyDescent="0.2">
      <c r="A146"/>
      <c r="B146" s="8" t="s">
        <v>53</v>
      </c>
      <c r="C146" s="11" t="s">
        <v>54</v>
      </c>
      <c r="D146" s="8" t="s">
        <v>143</v>
      </c>
      <c r="E146" s="9" t="s">
        <v>86</v>
      </c>
      <c r="F146" s="11" t="s">
        <v>59</v>
      </c>
      <c r="G146" s="8" t="s">
        <v>139</v>
      </c>
      <c r="H146" s="11" t="s">
        <v>25</v>
      </c>
      <c r="I146" s="11" t="s">
        <v>4</v>
      </c>
      <c r="J146" s="8" t="s">
        <v>20</v>
      </c>
      <c r="K146" s="8" t="s">
        <v>55</v>
      </c>
      <c r="L146" s="9">
        <v>38455</v>
      </c>
      <c r="M146" s="9">
        <v>38635</v>
      </c>
      <c r="N146" s="10"/>
      <c r="O146"/>
      <c r="P146" s="54"/>
    </row>
    <row r="147" spans="1:18" ht="35.1" customHeight="1" x14ac:dyDescent="0.2">
      <c r="A147"/>
      <c r="B147" s="8" t="s">
        <v>53</v>
      </c>
      <c r="C147" s="11" t="s">
        <v>54</v>
      </c>
      <c r="D147" s="8" t="s">
        <v>143</v>
      </c>
      <c r="E147" s="9" t="s">
        <v>86</v>
      </c>
      <c r="F147" s="11" t="s">
        <v>63</v>
      </c>
      <c r="G147" s="8" t="s">
        <v>139</v>
      </c>
      <c r="H147" s="11" t="s">
        <v>25</v>
      </c>
      <c r="I147" s="11" t="s">
        <v>4</v>
      </c>
      <c r="J147" s="8" t="s">
        <v>20</v>
      </c>
      <c r="K147" s="8" t="s">
        <v>55</v>
      </c>
      <c r="L147" s="9">
        <v>38635</v>
      </c>
      <c r="M147" s="9">
        <v>38815</v>
      </c>
      <c r="N147" s="10"/>
      <c r="O147" s="24"/>
      <c r="P147" s="54"/>
    </row>
    <row r="148" spans="1:18" ht="35.1" customHeight="1" x14ac:dyDescent="0.2">
      <c r="A148"/>
      <c r="B148" s="8" t="s">
        <v>53</v>
      </c>
      <c r="C148" s="11" t="s">
        <v>54</v>
      </c>
      <c r="D148" s="8" t="s">
        <v>143</v>
      </c>
      <c r="E148" s="9" t="s">
        <v>86</v>
      </c>
      <c r="F148" s="11" t="s">
        <v>64</v>
      </c>
      <c r="G148" s="8" t="s">
        <v>139</v>
      </c>
      <c r="H148" s="11" t="s">
        <v>25</v>
      </c>
      <c r="I148" s="11" t="s">
        <v>4</v>
      </c>
      <c r="J148" s="8" t="s">
        <v>20</v>
      </c>
      <c r="K148" s="8" t="s">
        <v>65</v>
      </c>
      <c r="L148" s="9">
        <v>38815</v>
      </c>
      <c r="M148" s="9">
        <v>38995</v>
      </c>
      <c r="N148" s="10"/>
      <c r="O148"/>
      <c r="P148" s="54"/>
    </row>
    <row r="149" spans="1:18" ht="35.1" customHeight="1" x14ac:dyDescent="0.2">
      <c r="A149"/>
      <c r="B149" s="8" t="s">
        <v>71</v>
      </c>
      <c r="C149" s="11" t="s">
        <v>38</v>
      </c>
      <c r="D149" s="8" t="s">
        <v>144</v>
      </c>
      <c r="E149" s="9" t="s">
        <v>92</v>
      </c>
      <c r="F149" s="11" t="s">
        <v>91</v>
      </c>
      <c r="G149" s="8" t="s">
        <v>139</v>
      </c>
      <c r="H149" s="11" t="s">
        <v>25</v>
      </c>
      <c r="I149" s="11" t="s">
        <v>4</v>
      </c>
      <c r="J149" s="8" t="s">
        <v>20</v>
      </c>
      <c r="K149" s="8" t="s">
        <v>55</v>
      </c>
      <c r="L149" s="9">
        <v>35612</v>
      </c>
      <c r="M149" s="9">
        <v>35795</v>
      </c>
      <c r="N149" s="10"/>
      <c r="O149"/>
      <c r="P149" s="54"/>
    </row>
    <row r="150" spans="1:18" ht="35.1" customHeight="1" x14ac:dyDescent="0.2">
      <c r="A150"/>
      <c r="B150" s="8" t="s">
        <v>71</v>
      </c>
      <c r="C150" s="11" t="s">
        <v>38</v>
      </c>
      <c r="D150" s="8" t="s">
        <v>144</v>
      </c>
      <c r="E150" s="9" t="s">
        <v>92</v>
      </c>
      <c r="F150" s="11" t="s">
        <v>93</v>
      </c>
      <c r="G150" s="8" t="s">
        <v>139</v>
      </c>
      <c r="H150" s="11" t="s">
        <v>25</v>
      </c>
      <c r="I150" s="11" t="s">
        <v>4</v>
      </c>
      <c r="J150" s="8" t="s">
        <v>20</v>
      </c>
      <c r="K150" s="8" t="s">
        <v>55</v>
      </c>
      <c r="L150" s="9">
        <v>35796</v>
      </c>
      <c r="M150" s="9">
        <v>35976</v>
      </c>
      <c r="N150" s="10"/>
      <c r="O150"/>
      <c r="P150" s="54"/>
    </row>
    <row r="151" spans="1:18" ht="35.1" customHeight="1" x14ac:dyDescent="0.2">
      <c r="A151"/>
      <c r="B151" s="8" t="s">
        <v>71</v>
      </c>
      <c r="C151" s="11" t="s">
        <v>38</v>
      </c>
      <c r="D151" s="8" t="s">
        <v>144</v>
      </c>
      <c r="E151" s="9" t="s">
        <v>92</v>
      </c>
      <c r="F151" s="11" t="s">
        <v>94</v>
      </c>
      <c r="G151" s="8" t="s">
        <v>139</v>
      </c>
      <c r="H151" s="11" t="s">
        <v>25</v>
      </c>
      <c r="I151" s="11" t="s">
        <v>4</v>
      </c>
      <c r="J151" s="8" t="s">
        <v>20</v>
      </c>
      <c r="K151" s="8" t="s">
        <v>55</v>
      </c>
      <c r="L151" s="9">
        <v>35977</v>
      </c>
      <c r="M151" s="9">
        <v>36161</v>
      </c>
      <c r="N151" s="10"/>
      <c r="O151"/>
      <c r="P151" s="54"/>
    </row>
    <row r="152" spans="1:18" ht="35.1" customHeight="1" x14ac:dyDescent="0.2">
      <c r="A152"/>
      <c r="B152" s="8" t="s">
        <v>71</v>
      </c>
      <c r="C152" s="11" t="s">
        <v>38</v>
      </c>
      <c r="D152" s="8" t="s">
        <v>144</v>
      </c>
      <c r="E152" s="9" t="s">
        <v>92</v>
      </c>
      <c r="F152" s="11" t="s">
        <v>95</v>
      </c>
      <c r="G152" s="8" t="s">
        <v>139</v>
      </c>
      <c r="H152" s="11" t="s">
        <v>25</v>
      </c>
      <c r="I152" s="11" t="s">
        <v>4</v>
      </c>
      <c r="J152" s="8" t="s">
        <v>20</v>
      </c>
      <c r="K152" s="8" t="s">
        <v>55</v>
      </c>
      <c r="L152" s="9">
        <v>36041</v>
      </c>
      <c r="M152" s="9">
        <v>36250</v>
      </c>
      <c r="N152" s="10"/>
      <c r="O152"/>
      <c r="P152" s="54"/>
    </row>
    <row r="153" spans="1:18" ht="35.1" customHeight="1" x14ac:dyDescent="0.2">
      <c r="A153"/>
      <c r="B153" s="8" t="s">
        <v>71</v>
      </c>
      <c r="C153" s="11" t="s">
        <v>38</v>
      </c>
      <c r="D153" s="8" t="s">
        <v>144</v>
      </c>
      <c r="E153" s="9" t="s">
        <v>97</v>
      </c>
      <c r="F153" s="11" t="s">
        <v>101</v>
      </c>
      <c r="G153" s="8" t="s">
        <v>139</v>
      </c>
      <c r="H153" s="11" t="s">
        <v>25</v>
      </c>
      <c r="I153" s="11" t="s">
        <v>122</v>
      </c>
      <c r="J153" s="8" t="s">
        <v>21</v>
      </c>
      <c r="K153" s="8" t="s">
        <v>103</v>
      </c>
      <c r="L153" s="9">
        <v>36161</v>
      </c>
      <c r="M153" s="9">
        <v>38017</v>
      </c>
      <c r="N153" s="10"/>
      <c r="O153" s="24"/>
      <c r="P153" s="54"/>
    </row>
    <row r="154" spans="1:18" ht="35.1" customHeight="1" x14ac:dyDescent="0.2">
      <c r="A154"/>
      <c r="B154" s="8" t="s">
        <v>71</v>
      </c>
      <c r="C154" s="11" t="s">
        <v>38</v>
      </c>
      <c r="D154" s="8" t="s">
        <v>144</v>
      </c>
      <c r="E154" s="9" t="s">
        <v>97</v>
      </c>
      <c r="F154" s="11" t="s">
        <v>96</v>
      </c>
      <c r="G154" s="8" t="s">
        <v>139</v>
      </c>
      <c r="H154" s="11" t="s">
        <v>25</v>
      </c>
      <c r="I154" s="11" t="s">
        <v>122</v>
      </c>
      <c r="J154" s="8" t="s">
        <v>21</v>
      </c>
      <c r="K154" s="8" t="s">
        <v>70</v>
      </c>
      <c r="L154" s="9">
        <v>38008</v>
      </c>
      <c r="M154" s="9">
        <v>39470</v>
      </c>
      <c r="N154" s="10"/>
      <c r="O154"/>
      <c r="P154" s="54"/>
    </row>
    <row r="155" spans="1:18" ht="35.1" customHeight="1" x14ac:dyDescent="0.2">
      <c r="A155"/>
      <c r="B155" s="8" t="s">
        <v>71</v>
      </c>
      <c r="C155" s="11" t="s">
        <v>38</v>
      </c>
      <c r="D155" s="8" t="s">
        <v>144</v>
      </c>
      <c r="E155" s="9" t="s">
        <v>99</v>
      </c>
      <c r="F155" s="11" t="s">
        <v>98</v>
      </c>
      <c r="G155" s="8" t="s">
        <v>139</v>
      </c>
      <c r="H155" s="11" t="s">
        <v>25</v>
      </c>
      <c r="I155" s="11" t="s">
        <v>122</v>
      </c>
      <c r="J155" s="8" t="s">
        <v>21</v>
      </c>
      <c r="K155" s="8" t="s">
        <v>100</v>
      </c>
      <c r="L155" s="9">
        <v>39470</v>
      </c>
      <c r="M155" s="9">
        <v>41297</v>
      </c>
      <c r="N155" s="10"/>
      <c r="O155"/>
      <c r="P155" s="54"/>
    </row>
    <row r="156" spans="1:18" ht="35.1" customHeight="1" x14ac:dyDescent="0.2">
      <c r="A156"/>
      <c r="B156" s="8" t="s">
        <v>74</v>
      </c>
      <c r="C156" s="11" t="s">
        <v>75</v>
      </c>
      <c r="D156" s="8" t="s">
        <v>145</v>
      </c>
      <c r="E156" s="9" t="s">
        <v>82</v>
      </c>
      <c r="F156" s="15" t="s">
        <v>76</v>
      </c>
      <c r="G156" s="8" t="s">
        <v>139</v>
      </c>
      <c r="H156" s="11" t="s">
        <v>25</v>
      </c>
      <c r="I156" s="11" t="s">
        <v>4</v>
      </c>
      <c r="J156" s="8" t="s">
        <v>20</v>
      </c>
      <c r="K156" s="8" t="s">
        <v>55</v>
      </c>
      <c r="L156" s="9">
        <v>40262</v>
      </c>
      <c r="M156" s="9">
        <v>40446</v>
      </c>
      <c r="N156" s="10"/>
      <c r="O156"/>
      <c r="P156" s="54"/>
    </row>
    <row r="157" spans="1:18" ht="35.1" customHeight="1" x14ac:dyDescent="0.2">
      <c r="A157"/>
      <c r="B157" s="8" t="s">
        <v>74</v>
      </c>
      <c r="C157" s="11" t="s">
        <v>75</v>
      </c>
      <c r="D157" s="8" t="s">
        <v>145</v>
      </c>
      <c r="E157" s="9" t="s">
        <v>82</v>
      </c>
      <c r="F157" s="15" t="s">
        <v>77</v>
      </c>
      <c r="G157" s="8" t="s">
        <v>139</v>
      </c>
      <c r="H157" s="11" t="s">
        <v>25</v>
      </c>
      <c r="I157" s="11" t="s">
        <v>4</v>
      </c>
      <c r="J157" s="8" t="s">
        <v>20</v>
      </c>
      <c r="K157" s="8" t="s">
        <v>55</v>
      </c>
      <c r="L157" s="9">
        <v>40446</v>
      </c>
      <c r="M157" s="9">
        <v>40625</v>
      </c>
      <c r="N157" s="10"/>
      <c r="O157" s="24"/>
      <c r="P157" s="54"/>
    </row>
    <row r="158" spans="1:18" ht="35.1" customHeight="1" x14ac:dyDescent="0.2">
      <c r="A158"/>
      <c r="B158" s="8" t="s">
        <v>74</v>
      </c>
      <c r="C158" s="11" t="s">
        <v>75</v>
      </c>
      <c r="D158" s="8" t="s">
        <v>145</v>
      </c>
      <c r="E158" s="9" t="s">
        <v>82</v>
      </c>
      <c r="F158" s="15" t="s">
        <v>78</v>
      </c>
      <c r="G158" s="8" t="s">
        <v>139</v>
      </c>
      <c r="H158" s="11" t="s">
        <v>25</v>
      </c>
      <c r="I158" s="11" t="s">
        <v>4</v>
      </c>
      <c r="J158" s="8" t="s">
        <v>20</v>
      </c>
      <c r="K158" s="8" t="s">
        <v>55</v>
      </c>
      <c r="L158" s="9">
        <v>40625</v>
      </c>
      <c r="M158" s="9">
        <v>40444</v>
      </c>
      <c r="N158" s="10"/>
      <c r="O158" s="18"/>
      <c r="P158" s="54"/>
      <c r="Q158" s="3"/>
      <c r="R158" s="2"/>
    </row>
    <row r="159" spans="1:18" ht="35.1" customHeight="1" x14ac:dyDescent="0.2">
      <c r="A159"/>
      <c r="B159" s="8" t="s">
        <v>74</v>
      </c>
      <c r="C159" s="11" t="s">
        <v>75</v>
      </c>
      <c r="D159" s="8" t="s">
        <v>145</v>
      </c>
      <c r="E159" s="9" t="s">
        <v>82</v>
      </c>
      <c r="F159" s="15" t="s">
        <v>79</v>
      </c>
      <c r="G159" s="8" t="s">
        <v>139</v>
      </c>
      <c r="H159" s="11" t="s">
        <v>25</v>
      </c>
      <c r="I159" s="11" t="s">
        <v>4</v>
      </c>
      <c r="J159" s="8" t="s">
        <v>20</v>
      </c>
      <c r="K159" s="8" t="s">
        <v>55</v>
      </c>
      <c r="L159" s="9">
        <v>40444</v>
      </c>
      <c r="M159" s="9">
        <v>40991</v>
      </c>
      <c r="N159" s="10"/>
      <c r="O159" s="18"/>
      <c r="P159" s="54"/>
      <c r="Q159" s="3"/>
      <c r="R159" s="2"/>
    </row>
    <row r="160" spans="1:18" ht="35.1" customHeight="1" x14ac:dyDescent="0.2">
      <c r="A160"/>
      <c r="B160" s="8" t="s">
        <v>83</v>
      </c>
      <c r="C160" s="11" t="s">
        <v>38</v>
      </c>
      <c r="D160" s="8" t="s">
        <v>151</v>
      </c>
      <c r="E160" s="9" t="s">
        <v>85</v>
      </c>
      <c r="F160" s="11" t="s">
        <v>84</v>
      </c>
      <c r="G160" s="8" t="s">
        <v>139</v>
      </c>
      <c r="H160" s="11" t="s">
        <v>25</v>
      </c>
      <c r="I160" s="11" t="s">
        <v>4</v>
      </c>
      <c r="J160" s="8" t="s">
        <v>20</v>
      </c>
      <c r="K160" s="8" t="s">
        <v>55</v>
      </c>
      <c r="L160" s="9">
        <v>37421</v>
      </c>
      <c r="M160" s="9">
        <v>37621</v>
      </c>
      <c r="N160" s="10"/>
      <c r="O160" s="18"/>
      <c r="P160" s="54"/>
      <c r="Q160" s="3"/>
      <c r="R160" s="2"/>
    </row>
    <row r="161" spans="1:18" ht="35.1" customHeight="1" x14ac:dyDescent="0.2">
      <c r="A161"/>
      <c r="B161" s="8" t="s">
        <v>83</v>
      </c>
      <c r="C161" s="11" t="s">
        <v>38</v>
      </c>
      <c r="D161" s="8" t="s">
        <v>151</v>
      </c>
      <c r="E161" s="9" t="s">
        <v>85</v>
      </c>
      <c r="F161" s="11" t="s">
        <v>87</v>
      </c>
      <c r="G161" s="8" t="s">
        <v>139</v>
      </c>
      <c r="H161" s="11" t="s">
        <v>25</v>
      </c>
      <c r="I161" s="11" t="s">
        <v>4</v>
      </c>
      <c r="J161" s="8" t="s">
        <v>20</v>
      </c>
      <c r="K161" s="8" t="s">
        <v>61</v>
      </c>
      <c r="L161" s="9">
        <v>37622</v>
      </c>
      <c r="M161" s="9">
        <v>37652</v>
      </c>
      <c r="N161" s="10"/>
      <c r="O161" s="18"/>
      <c r="P161" s="54"/>
      <c r="Q161" s="3"/>
      <c r="R161" s="2"/>
    </row>
    <row r="162" spans="1:18" ht="35.1" customHeight="1" x14ac:dyDescent="0.2">
      <c r="A162"/>
      <c r="B162" s="8" t="s">
        <v>83</v>
      </c>
      <c r="C162" s="11" t="s">
        <v>38</v>
      </c>
      <c r="D162" s="8" t="s">
        <v>151</v>
      </c>
      <c r="E162" s="9" t="s">
        <v>85</v>
      </c>
      <c r="F162" s="11" t="s">
        <v>90</v>
      </c>
      <c r="G162" s="8" t="s">
        <v>139</v>
      </c>
      <c r="H162" s="11" t="s">
        <v>25</v>
      </c>
      <c r="I162" s="11" t="s">
        <v>122</v>
      </c>
      <c r="J162" s="8" t="s">
        <v>21</v>
      </c>
      <c r="K162" s="8" t="s">
        <v>89</v>
      </c>
      <c r="L162" s="9">
        <v>37656</v>
      </c>
      <c r="M162" s="9">
        <v>39477</v>
      </c>
      <c r="N162" s="10"/>
      <c r="O162" s="24"/>
      <c r="P162" s="54"/>
    </row>
    <row r="163" spans="1:18" ht="35.1" customHeight="1" x14ac:dyDescent="0.2">
      <c r="B163" s="8"/>
      <c r="C163" s="11"/>
      <c r="D163" s="8"/>
      <c r="E163" s="9"/>
      <c r="F163" s="11"/>
      <c r="G163" s="8"/>
      <c r="H163" s="11"/>
      <c r="I163" s="9"/>
      <c r="J163" s="8"/>
      <c r="K163" s="8"/>
      <c r="L163" s="9"/>
      <c r="M163" s="9"/>
      <c r="N163" s="10"/>
      <c r="O163" s="24"/>
      <c r="P163" s="54"/>
    </row>
    <row r="164" spans="1:18" ht="35.1" customHeight="1" x14ac:dyDescent="0.2">
      <c r="B164" s="8"/>
      <c r="C164" s="11"/>
      <c r="D164" s="8"/>
      <c r="E164" s="9"/>
      <c r="F164" s="11"/>
      <c r="G164" s="8"/>
      <c r="H164" s="11"/>
      <c r="I164" s="9"/>
      <c r="J164" s="8"/>
      <c r="K164" s="8"/>
      <c r="L164" s="9"/>
      <c r="M164" s="9"/>
      <c r="N164" s="10"/>
      <c r="O164" s="24"/>
      <c r="P164" s="54"/>
    </row>
    <row r="165" spans="1:18" ht="35.1" customHeight="1" x14ac:dyDescent="0.2">
      <c r="B165" s="8"/>
      <c r="C165" s="11"/>
      <c r="D165" s="8"/>
      <c r="E165" s="9"/>
      <c r="F165" s="11"/>
      <c r="G165" s="8"/>
      <c r="H165" s="11"/>
      <c r="I165" s="9"/>
      <c r="J165" s="8"/>
      <c r="K165" s="8"/>
      <c r="L165" s="9"/>
      <c r="M165" s="9"/>
      <c r="N165" s="10"/>
      <c r="O165" s="24"/>
      <c r="P165" s="54"/>
    </row>
    <row r="166" spans="1:18" ht="35.1" customHeight="1" x14ac:dyDescent="0.2">
      <c r="B166" s="8"/>
      <c r="C166" s="11"/>
      <c r="D166" s="8"/>
      <c r="E166" s="9"/>
      <c r="F166" s="11"/>
      <c r="G166" s="8"/>
      <c r="H166" s="11"/>
      <c r="I166" s="9"/>
      <c r="J166" s="8"/>
      <c r="K166" s="8"/>
      <c r="L166" s="9"/>
      <c r="M166" s="9"/>
      <c r="N166" s="10"/>
      <c r="O166" s="24"/>
      <c r="P166" s="54"/>
    </row>
    <row r="167" spans="1:18" ht="35.1" customHeight="1" x14ac:dyDescent="0.2">
      <c r="B167" s="8"/>
      <c r="C167" s="11"/>
      <c r="D167" s="8"/>
      <c r="E167" s="9"/>
      <c r="F167" s="11"/>
      <c r="G167" s="8"/>
      <c r="H167" s="11"/>
      <c r="I167" s="9"/>
      <c r="J167" s="8"/>
      <c r="K167" s="8"/>
      <c r="L167" s="9"/>
      <c r="M167" s="9"/>
      <c r="N167" s="10"/>
      <c r="O167" s="24"/>
      <c r="P167" s="54"/>
    </row>
    <row r="168" spans="1:18" ht="35.1" customHeight="1" x14ac:dyDescent="0.2">
      <c r="B168" s="8"/>
      <c r="C168" s="11"/>
      <c r="D168" s="8"/>
      <c r="E168" s="9"/>
      <c r="F168" s="11"/>
      <c r="G168" s="8"/>
      <c r="H168" s="11"/>
      <c r="I168" s="9"/>
      <c r="J168" s="8"/>
      <c r="K168" s="8"/>
      <c r="L168" s="9"/>
      <c r="M168" s="9"/>
      <c r="N168" s="10"/>
      <c r="O168" s="27"/>
      <c r="P168" s="54"/>
    </row>
    <row r="169" spans="1:18" ht="35.1" customHeight="1" x14ac:dyDescent="0.2">
      <c r="B169" s="8"/>
      <c r="C169" s="11"/>
      <c r="D169" s="8"/>
      <c r="E169" s="9"/>
      <c r="F169" s="11"/>
      <c r="G169" s="8"/>
      <c r="H169" s="11"/>
      <c r="I169" s="9"/>
      <c r="J169" s="8"/>
      <c r="K169" s="8"/>
      <c r="L169" s="9"/>
      <c r="M169" s="9"/>
      <c r="N169" s="10"/>
      <c r="O169" s="24"/>
      <c r="P169" s="54"/>
    </row>
    <row r="170" spans="1:18" ht="35.1" customHeight="1" x14ac:dyDescent="0.2">
      <c r="B170" s="8"/>
      <c r="C170" s="11"/>
      <c r="D170" s="8"/>
      <c r="E170" s="9"/>
      <c r="F170" s="16"/>
      <c r="G170" s="8"/>
      <c r="H170" s="11"/>
      <c r="I170" s="11"/>
      <c r="J170" s="8"/>
      <c r="K170" s="16"/>
      <c r="L170" s="16"/>
      <c r="M170" s="16"/>
      <c r="N170" s="24"/>
      <c r="O170" s="24"/>
      <c r="P170" s="51"/>
    </row>
    <row r="171" spans="1:18" ht="35.1" customHeight="1" x14ac:dyDescent="0.2">
      <c r="B171" s="8"/>
      <c r="C171" s="11"/>
      <c r="D171" s="8"/>
      <c r="E171" s="9"/>
      <c r="F171" s="16"/>
      <c r="G171" s="8"/>
      <c r="H171" s="11"/>
      <c r="I171" s="9"/>
      <c r="J171" s="8"/>
      <c r="K171" s="16"/>
      <c r="L171" s="16"/>
      <c r="M171" s="16"/>
      <c r="N171" s="24"/>
      <c r="O171" s="24"/>
      <c r="P171" s="51"/>
    </row>
    <row r="172" spans="1:18" ht="35.1" customHeight="1" x14ac:dyDescent="0.2">
      <c r="B172" s="8"/>
      <c r="C172" s="11"/>
      <c r="D172" s="8"/>
      <c r="E172" s="9"/>
      <c r="F172" s="16"/>
      <c r="G172" s="8"/>
      <c r="H172" s="11"/>
      <c r="I172" s="9"/>
      <c r="J172" s="8"/>
      <c r="K172" s="16"/>
      <c r="L172" s="16"/>
      <c r="M172" s="16"/>
      <c r="N172" s="24"/>
      <c r="O172"/>
      <c r="P172" s="51"/>
    </row>
    <row r="173" spans="1:18" ht="35.1" customHeight="1" x14ac:dyDescent="0.2">
      <c r="B173" s="8"/>
      <c r="C173" s="11"/>
      <c r="D173" s="8"/>
      <c r="E173" s="9"/>
      <c r="F173" s="16"/>
      <c r="G173" s="8"/>
      <c r="H173" s="11"/>
      <c r="I173" s="9"/>
      <c r="J173" s="8"/>
      <c r="K173" s="16"/>
      <c r="L173" s="16"/>
      <c r="M173" s="16"/>
      <c r="N173" s="24"/>
      <c r="O173" s="24"/>
      <c r="P173" s="51"/>
    </row>
    <row r="174" spans="1:18" ht="35.1" customHeight="1" x14ac:dyDescent="0.2">
      <c r="B174" s="8"/>
      <c r="C174" s="11"/>
      <c r="D174" s="8"/>
      <c r="E174" s="9"/>
      <c r="F174" s="16"/>
      <c r="G174" s="8"/>
      <c r="H174" s="11"/>
      <c r="I174" s="9"/>
      <c r="J174" s="8"/>
      <c r="K174" s="16"/>
      <c r="L174" s="16"/>
      <c r="M174" s="16"/>
      <c r="N174" s="24"/>
      <c r="O174"/>
      <c r="P174" s="51"/>
    </row>
    <row r="175" spans="1:18" ht="35.1" customHeight="1" x14ac:dyDescent="0.2">
      <c r="B175" s="8"/>
      <c r="C175" s="11"/>
      <c r="D175" s="8"/>
      <c r="E175" s="9"/>
      <c r="F175" s="16"/>
      <c r="G175" s="8"/>
      <c r="H175" s="11"/>
      <c r="I175" s="9"/>
      <c r="J175" s="8"/>
      <c r="K175" s="16"/>
      <c r="L175" s="16"/>
      <c r="M175" s="16"/>
      <c r="N175" s="24"/>
      <c r="O175" s="24"/>
      <c r="P175" s="51"/>
    </row>
    <row r="176" spans="1:18" ht="35.1" customHeight="1" x14ac:dyDescent="0.2">
      <c r="B176" s="8"/>
      <c r="C176" s="11"/>
      <c r="D176" s="8"/>
      <c r="E176" s="9"/>
      <c r="F176" s="16"/>
      <c r="G176" s="8"/>
      <c r="H176" s="11"/>
      <c r="I176" s="9"/>
      <c r="J176" s="8"/>
      <c r="K176" s="16"/>
      <c r="L176" s="16"/>
      <c r="M176" s="16"/>
      <c r="N176" s="24"/>
      <c r="O176" s="24"/>
      <c r="P176" s="51"/>
    </row>
    <row r="177" spans="2:16" ht="35.1" customHeight="1" x14ac:dyDescent="0.2">
      <c r="B177" s="8"/>
      <c r="C177" s="11"/>
      <c r="D177" s="8"/>
      <c r="E177" s="9"/>
      <c r="F177" s="16"/>
      <c r="G177" s="8"/>
      <c r="H177" s="11"/>
      <c r="I177" s="9"/>
      <c r="J177" s="8"/>
      <c r="K177" s="16"/>
      <c r="L177" s="16"/>
      <c r="M177" s="16"/>
      <c r="N177" s="24"/>
      <c r="O177" s="24"/>
      <c r="P177" s="51"/>
    </row>
    <row r="178" spans="2:16" ht="35.1" customHeight="1" x14ac:dyDescent="0.2">
      <c r="B178" s="8"/>
      <c r="C178" s="11"/>
      <c r="D178" s="8"/>
      <c r="E178" s="9"/>
      <c r="F178" s="16"/>
      <c r="G178" s="8"/>
      <c r="H178" s="11"/>
      <c r="I178" s="9"/>
      <c r="J178" s="8"/>
      <c r="K178" s="16"/>
      <c r="L178" s="16"/>
      <c r="M178" s="16"/>
      <c r="N178" s="24"/>
      <c r="O178" s="24"/>
      <c r="P178" s="51"/>
    </row>
    <row r="179" spans="2:16" ht="35.1" customHeight="1" x14ac:dyDescent="0.2">
      <c r="B179" s="8"/>
      <c r="C179" s="11"/>
      <c r="D179" s="8"/>
      <c r="E179" s="9"/>
      <c r="F179" s="16"/>
      <c r="G179" s="8"/>
      <c r="H179" s="11"/>
      <c r="I179" s="9"/>
      <c r="J179" s="8"/>
      <c r="K179" s="16"/>
      <c r="L179" s="16"/>
      <c r="M179" s="16"/>
      <c r="N179" s="24"/>
      <c r="O179" s="24"/>
      <c r="P179" s="51"/>
    </row>
    <row r="180" spans="2:16" ht="35.1" customHeight="1" x14ac:dyDescent="0.2">
      <c r="B180" s="8"/>
      <c r="C180" s="11"/>
      <c r="D180" s="8"/>
      <c r="E180" s="9"/>
      <c r="F180" s="16"/>
      <c r="G180" s="8"/>
      <c r="H180" s="11"/>
      <c r="I180" s="9"/>
      <c r="J180" s="8"/>
      <c r="K180" s="16"/>
      <c r="L180" s="16"/>
      <c r="M180" s="16"/>
      <c r="N180" s="24"/>
      <c r="O180" s="24"/>
      <c r="P180" s="51"/>
    </row>
    <row r="181" spans="2:16" ht="35.1" customHeight="1" x14ac:dyDescent="0.2">
      <c r="B181" s="8"/>
      <c r="C181" s="11"/>
      <c r="D181" s="8"/>
      <c r="E181" s="9"/>
      <c r="F181" s="16"/>
      <c r="G181" s="8"/>
      <c r="H181" s="11"/>
      <c r="I181" s="9"/>
      <c r="J181" s="8"/>
      <c r="K181" s="16"/>
      <c r="L181" s="16"/>
      <c r="M181" s="16"/>
      <c r="N181" s="24"/>
      <c r="O181"/>
      <c r="P181" s="51"/>
    </row>
    <row r="182" spans="2:16" ht="35.1" customHeight="1" x14ac:dyDescent="0.2">
      <c r="B182" s="8"/>
      <c r="C182" s="11"/>
      <c r="D182" s="8"/>
      <c r="E182" s="9"/>
      <c r="F182" s="16"/>
      <c r="G182" s="8"/>
      <c r="H182" s="11"/>
      <c r="I182" s="9"/>
      <c r="J182" s="8"/>
      <c r="K182" s="16"/>
      <c r="L182" s="16"/>
      <c r="M182" s="16"/>
      <c r="N182" s="24"/>
      <c r="O182" s="24"/>
      <c r="P182" s="51"/>
    </row>
    <row r="183" spans="2:16" ht="35.1" customHeight="1" x14ac:dyDescent="0.2">
      <c r="B183" s="8"/>
      <c r="C183" s="11"/>
      <c r="D183" s="8"/>
      <c r="E183" s="9"/>
      <c r="F183" s="16"/>
      <c r="G183" s="8"/>
      <c r="H183" s="11"/>
      <c r="I183" s="9"/>
      <c r="J183" s="8"/>
      <c r="K183" s="16"/>
      <c r="L183" s="16"/>
      <c r="M183" s="16"/>
      <c r="N183" s="24"/>
      <c r="O183" s="24"/>
      <c r="P183" s="51"/>
    </row>
    <row r="184" spans="2:16" ht="35.1" customHeight="1" x14ac:dyDescent="0.2">
      <c r="B184" s="8"/>
      <c r="C184" s="11"/>
      <c r="D184" s="8"/>
      <c r="E184" s="9"/>
      <c r="F184" s="16"/>
      <c r="G184" s="8"/>
      <c r="H184" s="11"/>
      <c r="I184" s="9"/>
      <c r="J184" s="8"/>
      <c r="K184" s="16"/>
      <c r="L184" s="16"/>
      <c r="M184" s="16"/>
      <c r="N184" s="24"/>
      <c r="O184" s="24"/>
      <c r="P184" s="51"/>
    </row>
    <row r="185" spans="2:16" ht="35.1" customHeight="1" x14ac:dyDescent="0.2">
      <c r="B185" s="8"/>
      <c r="C185" s="11"/>
      <c r="D185" s="8"/>
      <c r="E185" s="9"/>
      <c r="F185" s="16"/>
      <c r="G185" s="8"/>
      <c r="H185" s="11"/>
      <c r="I185" s="9"/>
      <c r="J185" s="8"/>
      <c r="K185" s="16"/>
      <c r="L185" s="16"/>
      <c r="M185" s="16"/>
      <c r="N185" s="24"/>
      <c r="O185" s="24"/>
      <c r="P185" s="51"/>
    </row>
    <row r="186" spans="2:16" ht="35.1" customHeight="1" x14ac:dyDescent="0.2">
      <c r="B186" s="8"/>
      <c r="C186" s="11"/>
      <c r="D186" s="8"/>
      <c r="E186" s="9"/>
      <c r="F186" s="16"/>
      <c r="G186" s="8"/>
      <c r="H186" s="11"/>
      <c r="I186" s="9"/>
      <c r="J186" s="8"/>
      <c r="K186" s="16"/>
      <c r="L186" s="16"/>
      <c r="M186" s="16"/>
      <c r="N186" s="24"/>
      <c r="O186" s="24"/>
      <c r="P186" s="51"/>
    </row>
    <row r="187" spans="2:16" ht="35.1" customHeight="1" x14ac:dyDescent="0.2">
      <c r="B187" s="8"/>
      <c r="C187" s="11"/>
      <c r="D187" s="8"/>
      <c r="E187" s="9"/>
      <c r="F187" s="16"/>
      <c r="G187" s="8"/>
      <c r="H187" s="11"/>
      <c r="I187" s="9"/>
      <c r="J187" s="8"/>
      <c r="K187" s="16"/>
      <c r="L187" s="16"/>
      <c r="M187" s="16"/>
      <c r="N187" s="24"/>
      <c r="O187" s="24"/>
      <c r="P187" s="51"/>
    </row>
    <row r="188" spans="2:16" ht="35.1" customHeight="1" x14ac:dyDescent="0.2">
      <c r="B188" s="8"/>
      <c r="C188" s="11"/>
      <c r="D188" s="8"/>
      <c r="E188" s="9"/>
      <c r="F188" s="16"/>
      <c r="G188" s="8"/>
      <c r="H188" s="11"/>
      <c r="I188" s="9"/>
      <c r="J188" s="8"/>
      <c r="K188" s="16"/>
      <c r="L188" s="16"/>
      <c r="M188" s="16"/>
      <c r="N188" s="24"/>
      <c r="O188" s="24"/>
      <c r="P188" s="51"/>
    </row>
    <row r="189" spans="2:16" ht="35.1" customHeight="1" x14ac:dyDescent="0.2">
      <c r="B189" s="8"/>
      <c r="C189" s="11"/>
      <c r="D189" s="8"/>
      <c r="E189" s="9"/>
      <c r="F189" s="16"/>
      <c r="G189" s="8"/>
      <c r="H189" s="11"/>
      <c r="I189" s="9"/>
      <c r="J189" s="8"/>
      <c r="K189" s="16"/>
      <c r="L189" s="16"/>
      <c r="M189" s="16"/>
      <c r="N189" s="24"/>
      <c r="O189" s="24"/>
      <c r="P189" s="51"/>
    </row>
    <row r="190" spans="2:16" ht="35.1" customHeight="1" x14ac:dyDescent="0.2">
      <c r="B190" s="8"/>
      <c r="C190" s="11"/>
      <c r="D190" s="8"/>
      <c r="E190" s="9"/>
      <c r="F190" s="16"/>
      <c r="G190" s="8"/>
      <c r="H190" s="11"/>
      <c r="I190" s="9"/>
      <c r="J190" s="8"/>
      <c r="K190" s="16"/>
      <c r="L190" s="16"/>
      <c r="M190" s="16"/>
      <c r="N190" s="24"/>
      <c r="O190" s="24"/>
      <c r="P190" s="51"/>
    </row>
    <row r="191" spans="2:16" ht="35.1" customHeight="1" x14ac:dyDescent="0.2">
      <c r="B191" s="8"/>
      <c r="C191" s="11"/>
      <c r="D191" s="8"/>
      <c r="E191" s="9"/>
      <c r="F191" s="16"/>
      <c r="G191" s="8"/>
      <c r="H191" s="11"/>
      <c r="I191" s="9"/>
      <c r="J191" s="8"/>
      <c r="K191" s="16"/>
      <c r="L191" s="16"/>
      <c r="M191" s="16"/>
      <c r="N191" s="24"/>
      <c r="O191" s="24"/>
      <c r="P191" s="51"/>
    </row>
    <row r="192" spans="2:16" ht="35.1" customHeight="1" x14ac:dyDescent="0.2">
      <c r="B192" s="8"/>
      <c r="C192" s="11"/>
      <c r="D192" s="8"/>
      <c r="E192" s="9"/>
      <c r="F192" s="16"/>
      <c r="G192" s="8"/>
      <c r="H192" s="11"/>
      <c r="I192" s="9"/>
      <c r="J192" s="8"/>
      <c r="K192" s="16"/>
      <c r="L192" s="16"/>
      <c r="M192" s="16"/>
      <c r="N192" s="24"/>
      <c r="O192" s="24"/>
      <c r="P192" s="51"/>
    </row>
    <row r="193" spans="2:16" ht="35.1" customHeight="1" x14ac:dyDescent="0.2">
      <c r="B193" s="8"/>
      <c r="C193" s="11"/>
      <c r="D193" s="8"/>
      <c r="E193" s="9"/>
      <c r="F193" s="16"/>
      <c r="G193" s="8"/>
      <c r="H193" s="11"/>
      <c r="I193" s="9"/>
      <c r="J193" s="8"/>
      <c r="K193" s="16"/>
      <c r="L193" s="16"/>
      <c r="M193" s="16"/>
      <c r="N193" s="24"/>
      <c r="O193" s="24"/>
      <c r="P193" s="51"/>
    </row>
    <row r="194" spans="2:16" ht="35.1" customHeight="1" x14ac:dyDescent="0.2">
      <c r="B194" s="8" t="s">
        <v>113</v>
      </c>
      <c r="C194" s="11" t="s">
        <v>109</v>
      </c>
      <c r="D194" s="8" t="s">
        <v>149</v>
      </c>
      <c r="E194" s="9" t="s">
        <v>115</v>
      </c>
      <c r="F194" s="16" t="s">
        <v>118</v>
      </c>
      <c r="G194" s="8" t="s">
        <v>139</v>
      </c>
      <c r="H194" s="11" t="s">
        <v>25</v>
      </c>
      <c r="I194" s="11" t="s">
        <v>4</v>
      </c>
      <c r="J194" s="8" t="s">
        <v>20</v>
      </c>
      <c r="K194" s="8" t="s">
        <v>55</v>
      </c>
      <c r="L194" s="9">
        <v>39084</v>
      </c>
      <c r="M194" s="9">
        <v>39264</v>
      </c>
      <c r="N194" s="10"/>
      <c r="O194" s="24"/>
      <c r="P194" s="54"/>
    </row>
    <row r="195" spans="2:16" ht="35.1" customHeight="1" x14ac:dyDescent="0.2">
      <c r="B195" s="8" t="s">
        <v>113</v>
      </c>
      <c r="C195" s="11" t="s">
        <v>109</v>
      </c>
      <c r="D195" s="8" t="s">
        <v>149</v>
      </c>
      <c r="E195" s="9" t="s">
        <v>115</v>
      </c>
      <c r="F195" s="16" t="s">
        <v>114</v>
      </c>
      <c r="G195" s="8" t="s">
        <v>139</v>
      </c>
      <c r="H195" s="11" t="s">
        <v>25</v>
      </c>
      <c r="I195" s="11" t="s">
        <v>4</v>
      </c>
      <c r="J195" s="8" t="s">
        <v>20</v>
      </c>
      <c r="K195" s="8" t="s">
        <v>55</v>
      </c>
      <c r="L195" s="9">
        <v>39269</v>
      </c>
      <c r="M195" s="9">
        <v>39449</v>
      </c>
      <c r="N195" s="10"/>
      <c r="O195" s="24"/>
      <c r="P195" s="54"/>
    </row>
    <row r="196" spans="2:16" ht="35.1" customHeight="1" x14ac:dyDescent="0.2">
      <c r="B196" s="8" t="s">
        <v>113</v>
      </c>
      <c r="C196" s="11" t="s">
        <v>109</v>
      </c>
      <c r="D196" s="8" t="s">
        <v>149</v>
      </c>
      <c r="E196" s="9" t="s">
        <v>115</v>
      </c>
      <c r="F196" s="16" t="s">
        <v>119</v>
      </c>
      <c r="G196" s="8" t="s">
        <v>139</v>
      </c>
      <c r="H196" s="11" t="s">
        <v>25</v>
      </c>
      <c r="I196" s="11" t="s">
        <v>4</v>
      </c>
      <c r="J196" s="8" t="s">
        <v>20</v>
      </c>
      <c r="K196" s="8" t="s">
        <v>61</v>
      </c>
      <c r="L196" s="9">
        <v>39629</v>
      </c>
      <c r="M196" s="9">
        <v>39659</v>
      </c>
      <c r="N196" s="10"/>
      <c r="O196" s="24"/>
      <c r="P196" s="54"/>
    </row>
    <row r="197" spans="2:16" ht="35.1" customHeight="1" x14ac:dyDescent="0.2">
      <c r="B197" s="8" t="s">
        <v>113</v>
      </c>
      <c r="C197" s="11" t="s">
        <v>109</v>
      </c>
      <c r="D197" s="8" t="s">
        <v>149</v>
      </c>
      <c r="E197" s="9" t="s">
        <v>115</v>
      </c>
      <c r="F197" s="16" t="s">
        <v>120</v>
      </c>
      <c r="G197" s="8" t="s">
        <v>139</v>
      </c>
      <c r="H197" s="11" t="s">
        <v>25</v>
      </c>
      <c r="I197" s="11" t="s">
        <v>4</v>
      </c>
      <c r="J197" s="8" t="s">
        <v>20</v>
      </c>
      <c r="K197" s="8" t="s">
        <v>55</v>
      </c>
      <c r="L197" s="9">
        <f>M196</f>
        <v>39659</v>
      </c>
      <c r="M197" s="9">
        <v>-1</v>
      </c>
      <c r="N197" s="10"/>
      <c r="O197" s="24"/>
      <c r="P197" s="54"/>
    </row>
    <row r="198" spans="2:16" ht="35.1" customHeight="1" x14ac:dyDescent="0.2">
      <c r="B198" s="8"/>
      <c r="C198" s="11"/>
      <c r="D198" s="8"/>
      <c r="E198" s="9"/>
      <c r="F198" s="16"/>
      <c r="G198" s="8"/>
      <c r="H198" s="11"/>
      <c r="I198" s="11"/>
      <c r="J198" s="8"/>
      <c r="K198" s="16"/>
      <c r="L198" s="16"/>
      <c r="M198" s="16"/>
      <c r="N198" s="24"/>
      <c r="O198" s="24"/>
      <c r="P198" s="51"/>
    </row>
    <row r="199" spans="2:16" ht="35.1" customHeight="1" x14ac:dyDescent="0.2">
      <c r="B199" s="8"/>
      <c r="C199" s="11"/>
      <c r="D199" s="8"/>
      <c r="E199" s="9"/>
      <c r="F199" s="16"/>
      <c r="G199" s="8"/>
      <c r="H199" s="11"/>
      <c r="I199" s="11"/>
      <c r="J199" s="8"/>
      <c r="K199" s="16"/>
      <c r="L199" s="16"/>
      <c r="M199" s="16"/>
      <c r="N199" s="24"/>
      <c r="O199" s="24"/>
      <c r="P199" s="51"/>
    </row>
    <row r="200" spans="2:16" ht="35.1" customHeight="1" x14ac:dyDescent="0.2"/>
    <row r="201" spans="2:16" ht="35.1" customHeight="1" x14ac:dyDescent="0.2"/>
    <row r="202" spans="2:16" ht="35.1" customHeight="1" x14ac:dyDescent="0.2"/>
    <row r="203" spans="2:16" ht="35.1" customHeight="1" x14ac:dyDescent="0.2"/>
    <row r="204" spans="2:16" ht="35.1" customHeight="1" x14ac:dyDescent="0.2"/>
    <row r="205" spans="2:16" ht="35.1" customHeight="1" x14ac:dyDescent="0.2"/>
    <row r="206" spans="2:16" ht="35.1" customHeight="1" x14ac:dyDescent="0.2"/>
    <row r="207" spans="2:16" ht="35.1" customHeight="1" x14ac:dyDescent="0.2"/>
    <row r="208" spans="2:16" ht="35.1" customHeight="1" x14ac:dyDescent="0.2"/>
    <row r="209" ht="35.1" customHeight="1" x14ac:dyDescent="0.2"/>
    <row r="210" ht="35.1" customHeight="1" x14ac:dyDescent="0.2"/>
    <row r="211" ht="35.1" customHeight="1" x14ac:dyDescent="0.2"/>
    <row r="212" ht="35.1" customHeight="1" x14ac:dyDescent="0.2"/>
    <row r="213" ht="35.1" customHeight="1" x14ac:dyDescent="0.2"/>
    <row r="214" ht="35.1" customHeight="1" x14ac:dyDescent="0.2"/>
    <row r="215" ht="35.1" customHeight="1" x14ac:dyDescent="0.2"/>
    <row r="216" ht="35.1" customHeight="1" x14ac:dyDescent="0.2"/>
    <row r="217" ht="35.1" customHeight="1" x14ac:dyDescent="0.2"/>
    <row r="218" ht="35.1" customHeight="1" x14ac:dyDescent="0.2"/>
    <row r="219" ht="35.1" customHeight="1" x14ac:dyDescent="0.2"/>
    <row r="220" ht="35.1" customHeight="1" x14ac:dyDescent="0.2"/>
    <row r="221" ht="35.1" customHeight="1" x14ac:dyDescent="0.2"/>
    <row r="222" ht="35.1" customHeight="1" x14ac:dyDescent="0.2"/>
    <row r="223" ht="35.1" customHeight="1" x14ac:dyDescent="0.2"/>
    <row r="224" ht="35.1" customHeight="1" x14ac:dyDescent="0.2"/>
    <row r="225" ht="35.1" customHeight="1" x14ac:dyDescent="0.2"/>
    <row r="226" ht="35.1" customHeight="1" x14ac:dyDescent="0.2"/>
    <row r="227" ht="35.1" customHeight="1" x14ac:dyDescent="0.2"/>
    <row r="228" ht="35.1" customHeight="1" x14ac:dyDescent="0.2"/>
    <row r="229" ht="35.1" customHeight="1" x14ac:dyDescent="0.2"/>
    <row r="230" ht="35.1" customHeight="1" x14ac:dyDescent="0.2"/>
    <row r="231" ht="35.1" customHeight="1" x14ac:dyDescent="0.2"/>
    <row r="232" ht="35.1" customHeight="1" x14ac:dyDescent="0.2"/>
    <row r="233" ht="35.1" customHeight="1" x14ac:dyDescent="0.2"/>
    <row r="234" ht="35.1" customHeight="1" x14ac:dyDescent="0.2"/>
    <row r="235" ht="35.1" customHeight="1" x14ac:dyDescent="0.2"/>
    <row r="236" ht="35.1" customHeight="1" x14ac:dyDescent="0.2"/>
    <row r="237" ht="35.1" customHeight="1" x14ac:dyDescent="0.2"/>
    <row r="238" ht="35.1" customHeight="1" x14ac:dyDescent="0.2"/>
    <row r="239" ht="35.1" customHeight="1" x14ac:dyDescent="0.2"/>
    <row r="240" ht="35.1" customHeight="1" x14ac:dyDescent="0.2"/>
    <row r="241" ht="35.1" customHeight="1" x14ac:dyDescent="0.2"/>
    <row r="242" ht="35.1" customHeight="1" x14ac:dyDescent="0.2"/>
    <row r="243" ht="35.1" customHeight="1" x14ac:dyDescent="0.2"/>
    <row r="244" ht="35.1" customHeight="1" x14ac:dyDescent="0.2"/>
    <row r="245" ht="35.1" customHeight="1" x14ac:dyDescent="0.2"/>
    <row r="246" ht="35.1" customHeight="1" x14ac:dyDescent="0.2"/>
    <row r="247" ht="35.1" customHeight="1" x14ac:dyDescent="0.2"/>
    <row r="248" ht="35.1" customHeight="1" x14ac:dyDescent="0.2"/>
    <row r="249" ht="35.1" customHeight="1" x14ac:dyDescent="0.2"/>
    <row r="250" ht="35.1" customHeight="1" x14ac:dyDescent="0.2"/>
    <row r="251" ht="35.1" customHeight="1" x14ac:dyDescent="0.2"/>
    <row r="252" ht="35.1" customHeight="1" x14ac:dyDescent="0.2"/>
    <row r="253" ht="35.1" customHeight="1" x14ac:dyDescent="0.2"/>
    <row r="254" ht="35.1" customHeight="1" x14ac:dyDescent="0.2"/>
    <row r="255" ht="35.1" customHeight="1" x14ac:dyDescent="0.2"/>
    <row r="256" ht="35.1" customHeight="1" x14ac:dyDescent="0.2"/>
    <row r="257" ht="35.1" customHeight="1" x14ac:dyDescent="0.2"/>
    <row r="258" ht="35.1" customHeight="1" x14ac:dyDescent="0.2"/>
    <row r="259" ht="35.1" customHeight="1" x14ac:dyDescent="0.2"/>
    <row r="260" ht="35.1" customHeight="1" x14ac:dyDescent="0.2"/>
    <row r="261" ht="35.1" customHeight="1" x14ac:dyDescent="0.2"/>
    <row r="262" ht="35.1" customHeight="1" x14ac:dyDescent="0.2"/>
    <row r="263" ht="35.1" customHeight="1" x14ac:dyDescent="0.2"/>
    <row r="264" ht="35.1" customHeight="1" x14ac:dyDescent="0.2"/>
    <row r="265" ht="35.1" customHeight="1" x14ac:dyDescent="0.2"/>
    <row r="266" ht="35.1" customHeight="1" x14ac:dyDescent="0.2"/>
    <row r="267" ht="35.1" customHeight="1" x14ac:dyDescent="0.2"/>
    <row r="268" ht="35.1" customHeight="1" x14ac:dyDescent="0.2"/>
    <row r="269" ht="35.1" customHeight="1" x14ac:dyDescent="0.2"/>
    <row r="270" ht="35.1" customHeight="1" x14ac:dyDescent="0.2"/>
    <row r="271" ht="35.1" customHeight="1" x14ac:dyDescent="0.2"/>
    <row r="272" ht="35.1" customHeight="1" x14ac:dyDescent="0.2"/>
    <row r="273" ht="35.1" customHeight="1" x14ac:dyDescent="0.2"/>
    <row r="274" ht="35.1" customHeight="1" x14ac:dyDescent="0.2"/>
    <row r="275" ht="35.1" customHeight="1" x14ac:dyDescent="0.2"/>
    <row r="276" ht="35.1" customHeight="1" x14ac:dyDescent="0.2"/>
    <row r="277" ht="35.1" customHeight="1" x14ac:dyDescent="0.2"/>
    <row r="278" ht="35.1" customHeight="1" x14ac:dyDescent="0.2"/>
    <row r="279" ht="35.1" customHeight="1" x14ac:dyDescent="0.2"/>
    <row r="280" ht="35.1" customHeight="1" x14ac:dyDescent="0.2"/>
    <row r="281" ht="35.1" customHeight="1" x14ac:dyDescent="0.2"/>
    <row r="282" ht="35.1" customHeight="1" x14ac:dyDescent="0.2"/>
    <row r="283" ht="35.1" customHeight="1" x14ac:dyDescent="0.2"/>
    <row r="284" ht="35.1" customHeight="1" x14ac:dyDescent="0.2"/>
    <row r="285" ht="35.1" customHeight="1" x14ac:dyDescent="0.2"/>
    <row r="286" ht="35.1" customHeight="1" x14ac:dyDescent="0.2"/>
    <row r="287" ht="35.1" customHeight="1" x14ac:dyDescent="0.2"/>
    <row r="288" ht="35.1" customHeight="1" x14ac:dyDescent="0.2"/>
    <row r="289" ht="35.1" customHeight="1" x14ac:dyDescent="0.2"/>
    <row r="290" ht="35.1" customHeight="1" x14ac:dyDescent="0.2"/>
    <row r="291" ht="35.1" customHeight="1" x14ac:dyDescent="0.2"/>
    <row r="292" ht="35.1" customHeight="1" x14ac:dyDescent="0.2"/>
    <row r="293" ht="35.1" customHeight="1" x14ac:dyDescent="0.2"/>
    <row r="294" ht="35.1" customHeight="1" x14ac:dyDescent="0.2"/>
    <row r="295" ht="35.1" customHeight="1" x14ac:dyDescent="0.2"/>
    <row r="296" ht="35.1" customHeight="1" x14ac:dyDescent="0.2"/>
    <row r="297" ht="35.1" customHeight="1" x14ac:dyDescent="0.2"/>
    <row r="298" ht="35.1" customHeight="1" x14ac:dyDescent="0.2"/>
    <row r="299" ht="35.1" customHeight="1" x14ac:dyDescent="0.2"/>
    <row r="300" ht="35.1" customHeight="1" x14ac:dyDescent="0.2"/>
    <row r="301" ht="35.1" customHeight="1" x14ac:dyDescent="0.2"/>
    <row r="302" ht="35.1" customHeight="1" x14ac:dyDescent="0.2"/>
    <row r="303" ht="35.1" customHeight="1" x14ac:dyDescent="0.2"/>
    <row r="304" ht="35.1" customHeight="1" x14ac:dyDescent="0.2"/>
    <row r="305" ht="35.1" customHeight="1" x14ac:dyDescent="0.2"/>
    <row r="306" ht="35.1" customHeight="1" x14ac:dyDescent="0.2"/>
    <row r="307" ht="35.1" customHeight="1" x14ac:dyDescent="0.2"/>
    <row r="308" ht="35.1" customHeight="1" x14ac:dyDescent="0.2"/>
    <row r="309" ht="35.1" customHeight="1" x14ac:dyDescent="0.2"/>
    <row r="310" ht="35.1" customHeight="1" x14ac:dyDescent="0.2"/>
    <row r="311" ht="35.1" customHeight="1" x14ac:dyDescent="0.2"/>
    <row r="312" ht="35.1" customHeight="1" x14ac:dyDescent="0.2"/>
    <row r="313" ht="35.1" customHeight="1" x14ac:dyDescent="0.2"/>
    <row r="314" ht="35.1" customHeight="1" x14ac:dyDescent="0.2"/>
    <row r="315" ht="35.1" customHeight="1" x14ac:dyDescent="0.2"/>
    <row r="316" ht="35.1" customHeight="1" x14ac:dyDescent="0.2"/>
    <row r="317" ht="35.1" customHeight="1" x14ac:dyDescent="0.2"/>
    <row r="318" ht="35.1" customHeight="1" x14ac:dyDescent="0.2"/>
    <row r="319" ht="35.1" customHeight="1" x14ac:dyDescent="0.2"/>
    <row r="320" ht="35.1" customHeight="1" x14ac:dyDescent="0.2"/>
    <row r="321" ht="35.1" customHeight="1" x14ac:dyDescent="0.2"/>
    <row r="322" ht="35.1" customHeight="1" x14ac:dyDescent="0.2"/>
    <row r="323" ht="35.1" customHeight="1" x14ac:dyDescent="0.2"/>
    <row r="324" ht="35.1" customHeight="1" x14ac:dyDescent="0.2"/>
    <row r="325" ht="35.1" customHeight="1" x14ac:dyDescent="0.2"/>
    <row r="326" ht="35.1" customHeight="1" x14ac:dyDescent="0.2"/>
    <row r="327" ht="35.1" customHeight="1" x14ac:dyDescent="0.2"/>
    <row r="328" ht="35.1" customHeight="1" x14ac:dyDescent="0.2"/>
    <row r="329" ht="35.1" customHeight="1" x14ac:dyDescent="0.2"/>
    <row r="330" ht="35.1" customHeight="1" x14ac:dyDescent="0.2"/>
    <row r="331" ht="35.1" customHeight="1" x14ac:dyDescent="0.2"/>
    <row r="332" ht="35.1" customHeight="1" x14ac:dyDescent="0.2"/>
    <row r="333" ht="35.1" customHeight="1" x14ac:dyDescent="0.2"/>
    <row r="334" ht="35.1" customHeight="1" x14ac:dyDescent="0.2"/>
    <row r="335" ht="35.1" customHeight="1" x14ac:dyDescent="0.2"/>
    <row r="336" ht="35.1" customHeight="1" x14ac:dyDescent="0.2"/>
    <row r="337" ht="35.1" customHeight="1" x14ac:dyDescent="0.2"/>
    <row r="338" ht="35.1" customHeight="1" x14ac:dyDescent="0.2"/>
    <row r="339" ht="35.1" customHeight="1" x14ac:dyDescent="0.2"/>
    <row r="340" ht="35.1" customHeight="1" x14ac:dyDescent="0.2"/>
    <row r="341" ht="35.1" customHeight="1" x14ac:dyDescent="0.2"/>
    <row r="342" ht="35.1" customHeight="1" x14ac:dyDescent="0.2"/>
    <row r="343" ht="35.1" customHeight="1" x14ac:dyDescent="0.2"/>
    <row r="344" ht="35.1" customHeight="1" x14ac:dyDescent="0.2"/>
    <row r="345" ht="35.1" customHeight="1" x14ac:dyDescent="0.2"/>
    <row r="346" ht="35.1" customHeight="1" x14ac:dyDescent="0.2"/>
    <row r="347" ht="35.1" customHeight="1" x14ac:dyDescent="0.2"/>
    <row r="348" ht="35.1" customHeight="1" x14ac:dyDescent="0.2"/>
    <row r="349" ht="35.1" customHeight="1" x14ac:dyDescent="0.2"/>
    <row r="350" ht="35.1" customHeight="1" x14ac:dyDescent="0.2"/>
    <row r="351" ht="35.1" customHeight="1" x14ac:dyDescent="0.2"/>
    <row r="352" ht="35.1" customHeight="1" x14ac:dyDescent="0.2"/>
    <row r="353" ht="35.1" customHeight="1" x14ac:dyDescent="0.2"/>
    <row r="354" ht="35.1" customHeight="1" x14ac:dyDescent="0.2"/>
    <row r="355" ht="35.1" customHeight="1" x14ac:dyDescent="0.2"/>
    <row r="356" ht="35.1" customHeight="1" x14ac:dyDescent="0.2"/>
    <row r="357" ht="35.1" customHeight="1" x14ac:dyDescent="0.2"/>
    <row r="358" ht="35.1" customHeight="1" x14ac:dyDescent="0.2"/>
    <row r="359" ht="35.1" customHeight="1" x14ac:dyDescent="0.2"/>
    <row r="360" ht="35.1" customHeight="1" x14ac:dyDescent="0.2"/>
    <row r="361" ht="35.1" customHeight="1" x14ac:dyDescent="0.2"/>
    <row r="362" ht="35.1" customHeight="1" x14ac:dyDescent="0.2"/>
    <row r="363" ht="35.1" customHeight="1" x14ac:dyDescent="0.2"/>
    <row r="364" ht="35.1" customHeight="1" x14ac:dyDescent="0.2"/>
    <row r="365" ht="35.1" customHeight="1" x14ac:dyDescent="0.2"/>
    <row r="366" ht="35.1" customHeight="1" x14ac:dyDescent="0.2"/>
    <row r="367" ht="35.1" customHeight="1" x14ac:dyDescent="0.2"/>
    <row r="368" ht="35.1" customHeight="1" x14ac:dyDescent="0.2"/>
    <row r="369" ht="35.1" customHeight="1" x14ac:dyDescent="0.2"/>
    <row r="370" ht="35.1" customHeight="1" x14ac:dyDescent="0.2"/>
    <row r="371" ht="35.1" customHeight="1" x14ac:dyDescent="0.2"/>
    <row r="372" ht="35.1" customHeight="1" x14ac:dyDescent="0.2"/>
    <row r="373" ht="35.1" customHeight="1" x14ac:dyDescent="0.2"/>
    <row r="374" ht="35.1" customHeight="1" x14ac:dyDescent="0.2"/>
    <row r="375" ht="35.1" customHeight="1" x14ac:dyDescent="0.2"/>
    <row r="376" ht="35.1" customHeight="1" x14ac:dyDescent="0.2"/>
    <row r="377" ht="35.1" customHeight="1" x14ac:dyDescent="0.2"/>
    <row r="378" ht="35.1" customHeight="1" x14ac:dyDescent="0.2"/>
    <row r="379" ht="35.1" customHeight="1" x14ac:dyDescent="0.2"/>
    <row r="380" ht="35.1" customHeight="1" x14ac:dyDescent="0.2"/>
    <row r="381" ht="35.1" customHeight="1" x14ac:dyDescent="0.2"/>
    <row r="382" ht="35.1" customHeight="1" x14ac:dyDescent="0.2"/>
    <row r="383" ht="35.1" customHeight="1" x14ac:dyDescent="0.2"/>
    <row r="384" ht="35.1" customHeight="1" x14ac:dyDescent="0.2"/>
    <row r="385" ht="35.1" customHeight="1" x14ac:dyDescent="0.2"/>
    <row r="386" ht="35.1" customHeight="1" x14ac:dyDescent="0.2"/>
    <row r="387" ht="35.1" customHeight="1" x14ac:dyDescent="0.2"/>
    <row r="388" ht="35.1" customHeight="1" x14ac:dyDescent="0.2"/>
    <row r="389" ht="35.1" customHeight="1" x14ac:dyDescent="0.2"/>
    <row r="390" ht="35.1" customHeight="1" x14ac:dyDescent="0.2"/>
    <row r="391" ht="35.1" customHeight="1" x14ac:dyDescent="0.2"/>
    <row r="392" ht="35.1" customHeight="1" x14ac:dyDescent="0.2"/>
    <row r="393" ht="35.1" customHeight="1" x14ac:dyDescent="0.2"/>
    <row r="394" ht="35.1" customHeight="1" x14ac:dyDescent="0.2"/>
    <row r="395" ht="35.1" customHeight="1" x14ac:dyDescent="0.2"/>
    <row r="396" ht="35.1" customHeight="1" x14ac:dyDescent="0.2"/>
    <row r="397" ht="35.1" customHeight="1" x14ac:dyDescent="0.2"/>
    <row r="398" ht="35.1" customHeight="1" x14ac:dyDescent="0.2"/>
    <row r="399" ht="35.1" customHeight="1" x14ac:dyDescent="0.2"/>
    <row r="400" ht="35.1" customHeight="1" x14ac:dyDescent="0.2"/>
    <row r="401" ht="35.1" customHeight="1" x14ac:dyDescent="0.2"/>
    <row r="402" ht="35.1" customHeight="1" x14ac:dyDescent="0.2"/>
  </sheetData>
  <autoFilter ref="B4:P162" xr:uid="{AA8BB29D-AF69-4798-B8E6-525F7FFB8EA7}">
    <filterColumn colId="5">
      <filters>
        <filter val="PÚBLICO"/>
      </filters>
    </filterColumn>
    <sortState xmlns:xlrd2="http://schemas.microsoft.com/office/spreadsheetml/2017/richdata2" ref="B6:P135">
      <sortCondition ref="P4:P162"/>
    </sortState>
  </autoFilter>
  <mergeCells count="3">
    <mergeCell ref="B1:N1"/>
    <mergeCell ref="B3:N3"/>
    <mergeCell ref="B2:P2"/>
  </mergeCells>
  <printOptions horizontalCentered="1" verticalCentered="1" headings="1"/>
  <pageMargins left="0.51181102362204722" right="0.51181102362204722" top="0.78740157480314965" bottom="0.78740157480314965" header="0.31496062992125984" footer="0.31496062992125984"/>
  <pageSetup paperSize="8" scale="24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LEVANTAMENTO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Moraes de Medeiros</dc:creator>
  <cp:lastModifiedBy>Tulio Vinicius Rodrigues Silva</cp:lastModifiedBy>
  <cp:lastPrinted>2024-01-22T20:39:17Z</cp:lastPrinted>
  <dcterms:created xsi:type="dcterms:W3CDTF">2021-07-07T17:14:11Z</dcterms:created>
  <dcterms:modified xsi:type="dcterms:W3CDTF">2026-02-12T14:42:03Z</dcterms:modified>
</cp:coreProperties>
</file>